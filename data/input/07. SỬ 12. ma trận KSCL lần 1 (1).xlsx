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E:\App\matrixquesgen\data\input\"/>
    </mc:Choice>
  </mc:AlternateContent>
  <xr:revisionPtr revIDLastSave="0" documentId="13_ncr:1_{16558F54-F816-4C8A-B4C4-DEF93628E589}" xr6:coauthVersionLast="47" xr6:coauthVersionMax="47" xr10:uidLastSave="{00000000-0000-0000-0000-000000000000}"/>
  <bookViews>
    <workbookView xWindow="-120" yWindow="-120" windowWidth="29040" windowHeight="15840" xr2:uid="{00000000-000D-0000-FFFF-FFFF00000000}"/>
  </bookViews>
  <sheets>
    <sheet name="Sử 12" sheetId="7"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5" i="7" l="1"/>
  <c r="N26" i="7" s="1"/>
  <c r="M25" i="7"/>
  <c r="M26" i="7" s="1"/>
  <c r="L25" i="7"/>
  <c r="K26" i="7"/>
  <c r="J26" i="7"/>
  <c r="I26" i="7"/>
  <c r="H26" i="7"/>
  <c r="G26" i="7"/>
  <c r="F26" i="7"/>
  <c r="L27" i="7" l="1"/>
  <c r="L28" i="7" s="1"/>
  <c r="L26" i="7"/>
  <c r="F28" i="7"/>
  <c r="I27" i="7"/>
  <c r="I28" i="7" s="1"/>
</calcChain>
</file>

<file path=xl/sharedStrings.xml><?xml version="1.0" encoding="utf-8"?>
<sst xmlns="http://schemas.openxmlformats.org/spreadsheetml/2006/main" count="92" uniqueCount="76">
  <si>
    <t>Stt</t>
  </si>
  <si>
    <t>Thành phần năng lực</t>
  </si>
  <si>
    <t>Tên chương - Bài</t>
  </si>
  <si>
    <t>Đặc tả ma trận</t>
  </si>
  <si>
    <t>Câu hỏi trắc nghiệm nhiều lựa chọn</t>
  </si>
  <si>
    <t>Câu hỏi trắc nghiệm dạng trả lời ngắn</t>
  </si>
  <si>
    <t>Nhận biết</t>
  </si>
  <si>
    <t>Thông hiểu</t>
  </si>
  <si>
    <t>Vận dụng</t>
  </si>
  <si>
    <t>TH</t>
  </si>
  <si>
    <t>Tổng số câu</t>
  </si>
  <si>
    <t>Tỉ lệ %</t>
  </si>
  <si>
    <t>T số câu/ 1 dạng thức</t>
  </si>
  <si>
    <t xml:space="preserve">Tỉ lệ % dạng thức </t>
  </si>
  <si>
    <t>Nhận thức và tư duy lịch sử</t>
  </si>
  <si>
    <t>Vận dụng kiến thức và kĩ năng đã học</t>
  </si>
  <si>
    <t>\</t>
  </si>
  <si>
    <t>2 (C1,2)</t>
  </si>
  <si>
    <t>1 (C3)</t>
  </si>
  <si>
    <t>1 (C4)</t>
  </si>
  <si>
    <t>1 (C5)</t>
  </si>
  <si>
    <t>2 (C6,7)</t>
  </si>
  <si>
    <t>1 (C8)</t>
  </si>
  <si>
    <t>1 (C9)</t>
  </si>
  <si>
    <t>1 (C10)</t>
  </si>
  <si>
    <t>1 (C11)</t>
  </si>
  <si>
    <t>1 (C13)</t>
  </si>
  <si>
    <t>1 (C14)</t>
  </si>
  <si>
    <t>1 (C15)</t>
  </si>
  <si>
    <t>1 (C17)</t>
  </si>
  <si>
    <t>1 (C16)</t>
  </si>
  <si>
    <t>1 (C18)</t>
  </si>
  <si>
    <t>1 (C19)</t>
  </si>
  <si>
    <t>1 (C24)</t>
  </si>
  <si>
    <t>2 (C20, 21)</t>
  </si>
  <si>
    <t>1 (C22)</t>
  </si>
  <si>
    <t>1 (C23)</t>
  </si>
  <si>
    <t>1 (C1c)</t>
  </si>
  <si>
    <t>1 (C1d)</t>
  </si>
  <si>
    <t>2 (C2a, C2b)</t>
  </si>
  <si>
    <t>1 (C2d)</t>
  </si>
  <si>
    <t>1 (C3d)</t>
  </si>
  <si>
    <t>1 (C4d)</t>
  </si>
  <si>
    <t>1 (C3c)</t>
  </si>
  <si>
    <t>1 (C4c)</t>
  </si>
  <si>
    <t>1 (C2c)</t>
  </si>
  <si>
    <r>
      <rPr>
        <b/>
        <sz val="18"/>
        <color theme="1"/>
        <rFont val="Times New Roman"/>
        <family val="1"/>
      </rPr>
      <t>Nhận biết:</t>
    </r>
    <r>
      <rPr>
        <sz val="18"/>
        <color theme="1"/>
        <rFont val="Times New Roman"/>
        <family val="1"/>
      </rPr>
      <t xml:space="preserve">
 Trình bày được bối cảnh lịch sử và quá trình hình thành Liên hợp quốc.
Trình bày được mục tiêu và nguyên tắc cơ bản của Liên hợp quốc.
</t>
    </r>
  </si>
  <si>
    <r>
      <rPr>
        <b/>
        <sz val="18"/>
        <color theme="1"/>
        <rFont val="Times New Roman"/>
        <family val="1"/>
      </rPr>
      <t>Nhận biết:</t>
    </r>
    <r>
      <rPr>
        <sz val="18"/>
        <color theme="1"/>
        <rFont val="Times New Roman"/>
        <family val="1"/>
      </rPr>
      <t xml:space="preserve">
 Trình bày được quá trình hình thành của Trật tự thế giới hai cực Ianta.
Trình bày được sự tồn tại của Trật tự thế giới hai cực Ianta.
</t>
    </r>
    <r>
      <rPr>
        <b/>
        <sz val="18"/>
        <color theme="1"/>
        <rFont val="Times New Roman"/>
        <family val="1"/>
      </rPr>
      <t>Thông hiểu:</t>
    </r>
    <r>
      <rPr>
        <sz val="18"/>
        <color theme="1"/>
        <rFont val="Times New Roman"/>
        <family val="1"/>
      </rPr>
      <t xml:space="preserve">
Phân tích được nguyên nhân dẫn đến sự sụp đổ của Trật tự thế giới hai cực Ianta.</t>
    </r>
  </si>
  <si>
    <r>
      <rPr>
        <b/>
        <sz val="18"/>
        <color theme="1"/>
        <rFont val="Times New Roman"/>
        <family val="1"/>
      </rPr>
      <t xml:space="preserve">Nhận biết:
</t>
    </r>
    <r>
      <rPr>
        <sz val="18"/>
        <color theme="1"/>
        <rFont val="Times New Roman"/>
        <family val="1"/>
      </rPr>
      <t>Nêu được xu thế phát triển chính của thế giới sau Chiến tranh lạnh</t>
    </r>
    <r>
      <rPr>
        <b/>
        <sz val="18"/>
        <color theme="1"/>
        <rFont val="Times New Roman"/>
        <family val="1"/>
      </rPr>
      <t xml:space="preserve">
Thông hiểu:</t>
    </r>
    <r>
      <rPr>
        <sz val="18"/>
        <color theme="1"/>
        <rFont val="Times New Roman"/>
        <family val="1"/>
      </rPr>
      <t xml:space="preserve">
Phân tích được xu thế toàn cầu hóa</t>
    </r>
  </si>
  <si>
    <r>
      <rPr>
        <b/>
        <sz val="18"/>
        <color theme="1"/>
        <rFont val="Times New Roman"/>
        <family val="1"/>
      </rPr>
      <t xml:space="preserve">Nhận biết:
</t>
    </r>
    <r>
      <rPr>
        <sz val="18"/>
        <color theme="1"/>
        <rFont val="Times New Roman"/>
        <family val="1"/>
      </rPr>
      <t>Nêu được quá trình hình thành của ASEAN (Bối cảnh ra đời, các sự kiện chính trong quá trình thành lập)
Nêu được mục đích thành lập của ASEAN.</t>
    </r>
    <r>
      <rPr>
        <b/>
        <sz val="18"/>
        <color theme="1"/>
        <rFont val="Times New Roman"/>
        <family val="1"/>
      </rPr>
      <t xml:space="preserve">
Thông hiểu:</t>
    </r>
    <r>
      <rPr>
        <sz val="18"/>
        <color theme="1"/>
        <rFont val="Times New Roman"/>
        <family val="1"/>
      </rPr>
      <t xml:space="preserve">
Phân tích được quá trình phát triển từ ASEAN 5 đến ASEAN 10.
</t>
    </r>
  </si>
  <si>
    <r>
      <rPr>
        <b/>
        <sz val="18"/>
        <color theme="1"/>
        <rFont val="Times New Roman"/>
        <family val="1"/>
      </rPr>
      <t xml:space="preserve">Nhận biết:
</t>
    </r>
    <r>
      <rPr>
        <sz val="18"/>
        <color theme="1"/>
        <rFont val="Times New Roman"/>
        <family val="1"/>
      </rPr>
      <t>Nêu được nét chính về ý tưởng, mục tiêu, kế hoạch xây dựng cộng đồng ASEAN
Trình bày được nội dung 3 trụ cột của cộng đồng ASEAN</t>
    </r>
    <r>
      <rPr>
        <b/>
        <sz val="18"/>
        <color theme="1"/>
        <rFont val="Times New Roman"/>
        <family val="1"/>
      </rPr>
      <t xml:space="preserve">
</t>
    </r>
  </si>
  <si>
    <r>
      <rPr>
        <b/>
        <sz val="18"/>
        <color theme="1"/>
        <rFont val="Times New Roman"/>
        <family val="1"/>
      </rPr>
      <t xml:space="preserve">Nhận biết:
</t>
    </r>
    <r>
      <rPr>
        <sz val="18"/>
        <color theme="1"/>
        <rFont val="Times New Roman"/>
        <family val="1"/>
      </rPr>
      <t>Nhận diện được mục tiêu quan trọng nhất của Liên Hợp quốc</t>
    </r>
    <r>
      <rPr>
        <b/>
        <sz val="18"/>
        <color theme="1"/>
        <rFont val="Times New Roman"/>
        <family val="1"/>
      </rPr>
      <t xml:space="preserve">
Thông hiểu:
</t>
    </r>
    <r>
      <rPr>
        <sz val="18"/>
        <color theme="1"/>
        <rFont val="Times New Roman"/>
        <family val="1"/>
      </rPr>
      <t>Phân tích được vai trò của Liên Hợp quốc</t>
    </r>
    <r>
      <rPr>
        <b/>
        <sz val="18"/>
        <color theme="1"/>
        <rFont val="Times New Roman"/>
        <family val="1"/>
      </rPr>
      <t xml:space="preserve"> </t>
    </r>
    <r>
      <rPr>
        <sz val="18"/>
        <color theme="1"/>
        <rFont val="Times New Roman"/>
        <family val="1"/>
      </rPr>
      <t xml:space="preserve">
Nhận xét được vai trò của các tổ chức quốc tế của Liên hợp quốc ở Việt Nam và đóng góp củaViệt Nam đối với các hoạt động của Liên hợp quốc.
</t>
    </r>
  </si>
  <si>
    <r>
      <rPr>
        <b/>
        <sz val="18"/>
        <color theme="1"/>
        <rFont val="Times New Roman"/>
        <family val="1"/>
      </rPr>
      <t xml:space="preserve">Nhận biết:
</t>
    </r>
    <r>
      <rPr>
        <sz val="18"/>
        <color theme="1"/>
        <rFont val="Times New Roman"/>
        <family val="1"/>
      </rPr>
      <t>Nhận diện được đặc điểm của Trật tự thế giới hai cực Ianta
Nhận diện được những sự kiện chính trong quá trình tồn tại của Trật tự hai cực Ianta</t>
    </r>
    <r>
      <rPr>
        <b/>
        <sz val="18"/>
        <color theme="1"/>
        <rFont val="Times New Roman"/>
        <family val="1"/>
      </rPr>
      <t xml:space="preserve">
Thông hiểu:</t>
    </r>
    <r>
      <rPr>
        <sz val="18"/>
        <color theme="1"/>
        <rFont val="Times New Roman"/>
        <family val="1"/>
      </rPr>
      <t xml:space="preserve">
Nhận xét về thỏa thuận về việc phân chia phạm vi ảnh hưởng giữa các nước lớn. 
Phân tích được tác động sự sụp đổ Trật tự thế giới hai cực Ianta đối với tình hình thế giới.
Phân tích được tác động của Trật tự thế giới hai cực Ianta đối với Việt Nam
</t>
    </r>
  </si>
  <si>
    <r>
      <rPr>
        <b/>
        <sz val="18"/>
        <color theme="1"/>
        <rFont val="Times New Roman"/>
        <family val="1"/>
      </rPr>
      <t>Nhận biết:</t>
    </r>
    <r>
      <rPr>
        <sz val="18"/>
        <color theme="1"/>
        <rFont val="Times New Roman"/>
        <family val="1"/>
      </rPr>
      <t xml:space="preserve">
Trình bày được khái niệm đa cực
Nêu được xu thế đa cực trong quan hệ quốc tế sau Chiến tranh lạnh</t>
    </r>
    <r>
      <rPr>
        <b/>
        <sz val="18"/>
        <color theme="1"/>
        <rFont val="Times New Roman"/>
        <family val="1"/>
      </rPr>
      <t xml:space="preserve">
Thông hiểu:
</t>
    </r>
    <r>
      <rPr>
        <sz val="18"/>
        <color theme="1"/>
        <rFont val="Times New Roman"/>
        <family val="1"/>
      </rPr>
      <t xml:space="preserve">Giải thích được vì sao sau Chiến tranh lạnh các nước lại lấy phát triển kinh tế làm trung tâm 
Nhận diện được xu thế đa cực trong quan hệ quốc tế sau Chiến tranh lạnh
Nhận diện được các biểu hiện của xu thế đa cực
</t>
    </r>
  </si>
  <si>
    <r>
      <rPr>
        <b/>
        <sz val="18"/>
        <color theme="1"/>
        <rFont val="Times New Roman"/>
        <family val="1"/>
      </rPr>
      <t>Nhận biết:</t>
    </r>
    <r>
      <rPr>
        <sz val="18"/>
        <color theme="1"/>
        <rFont val="Times New Roman"/>
        <family val="1"/>
      </rPr>
      <t xml:space="preserve">
Nêu được các giai đoạn phát triển chính của ASEAN từ 1967 đến nay.
Nhận diện được các hoạt động nổi bật của ASEAN trong từng giai đoạn.
</t>
    </r>
    <r>
      <rPr>
        <b/>
        <sz val="18"/>
        <color theme="1"/>
        <rFont val="Times New Roman"/>
        <family val="1"/>
      </rPr>
      <t xml:space="preserve">
Thông hiểu:</t>
    </r>
    <r>
      <rPr>
        <sz val="18"/>
        <color theme="1"/>
        <rFont val="Times New Roman"/>
        <family val="1"/>
      </rPr>
      <t xml:space="preserve">
Phân tích được ý nghĩa của việc mở rộng ASEAN
Nhận diện được sự kiện quan trọng đánh dấu bước ngoặt trong quá trình phát triển của ASEAN và ý nghĩa của sự kiện đó đối với sự phát triển chung của tổ chức ASEAN
</t>
    </r>
  </si>
  <si>
    <r>
      <rPr>
        <b/>
        <sz val="18"/>
        <color theme="1"/>
        <rFont val="Times New Roman"/>
        <family val="1"/>
      </rPr>
      <t xml:space="preserve">Vận dụng:
 </t>
    </r>
    <r>
      <rPr>
        <sz val="18"/>
        <color theme="1"/>
        <rFont val="Times New Roman"/>
        <family val="1"/>
      </rPr>
      <t xml:space="preserve">Việt Nam và các nước đã vận dụng các nguyên tắc của Liên Hợp Quốc trong việc giải quyết các vấn đề hiện nay.
Vận dụng hiểu biết về quá trình hình thành, mục tiêu, nguyên tắc hoạt động của LHQ làm nền tảng cho sự phát triển của Liên Hợp Quốc hiện nay
</t>
    </r>
  </si>
  <si>
    <r>
      <rPr>
        <b/>
        <sz val="18"/>
        <color theme="1"/>
        <rFont val="Times New Roman"/>
        <family val="1"/>
      </rPr>
      <t>Vận dụng:</t>
    </r>
    <r>
      <rPr>
        <sz val="18"/>
        <color theme="1"/>
        <rFont val="Times New Roman"/>
        <family val="1"/>
      </rPr>
      <t xml:space="preserve">
Vận dụng hiểu biết về Trật tự thế giới hai cực Ianta để giải thích những vấn đề có liên quan đến quan hệ quốc tế hiện nay.
</t>
    </r>
  </si>
  <si>
    <r>
      <rPr>
        <b/>
        <sz val="18"/>
        <color theme="1"/>
        <rFont val="Times New Roman"/>
        <family val="1"/>
      </rPr>
      <t xml:space="preserve">Vận dụng:
</t>
    </r>
    <r>
      <rPr>
        <sz val="18"/>
        <color theme="1"/>
        <rFont val="Times New Roman"/>
        <family val="1"/>
      </rPr>
      <t xml:space="preserve">Rút ra được thời cơ và thách thức cho các nước trong xu thế đa cực
Vận dụng hiểu biết về các xu thế chính của thế giới sau Chiến tranh lạnh để giải thích những vấn đề có liên quan đến quan hệ quốc tế hiện nay.
</t>
    </r>
  </si>
  <si>
    <r>
      <rPr>
        <b/>
        <sz val="18"/>
        <color theme="1"/>
        <rFont val="Times New Roman"/>
        <family val="1"/>
      </rPr>
      <t>Vận dụng:</t>
    </r>
    <r>
      <rPr>
        <sz val="18"/>
        <color theme="1"/>
        <rFont val="Times New Roman"/>
        <family val="1"/>
      </rPr>
      <t xml:space="preserve">
Rút ra được những đóng góp quan trọng của ASEAN trong quá trình thành lập và phát triển
</t>
    </r>
  </si>
  <si>
    <r>
      <rPr>
        <b/>
        <sz val="18"/>
        <color theme="1"/>
        <rFont val="Times New Roman"/>
        <family val="1"/>
      </rPr>
      <t>Vận dụng:</t>
    </r>
    <r>
      <rPr>
        <sz val="18"/>
        <color theme="1"/>
        <rFont val="Times New Roman"/>
        <family val="1"/>
      </rPr>
      <t xml:space="preserve">
Rút ra được đóng góp của Việt Nam cho sự phát triển Cộng đồng ASEAN</t>
    </r>
  </si>
  <si>
    <t>1 (C12)</t>
  </si>
  <si>
    <r>
      <rPr>
        <b/>
        <sz val="18"/>
        <color theme="1"/>
        <rFont val="Times New Roman"/>
        <family val="1"/>
      </rPr>
      <t>Thông hiểu:</t>
    </r>
    <r>
      <rPr>
        <sz val="18"/>
        <color theme="1"/>
        <rFont val="Times New Roman"/>
        <family val="1"/>
      </rPr>
      <t xml:space="preserve">
Phân tích được những thách thức của Cộng đồng ASEAN. 
Phân tích được những triển vọng của Cộng đồng ASEAN. 
</t>
    </r>
  </si>
  <si>
    <t>Câu hỏi trắc nghiệm dạng Đúng/Sai</t>
  </si>
  <si>
    <t>2 (C1a, C1b)</t>
  </si>
  <si>
    <t>2 (C3a,C3b)</t>
  </si>
  <si>
    <t>2 (C4a, C4b)</t>
  </si>
  <si>
    <t>Tài liệu bổ sung</t>
  </si>
  <si>
    <t>Tư liệu 1. “Về quyền con người, Liên hợp quốc đóng vai trò tiên phong trong đàm phán và xây dựng các văn kiện quốc tế quan trọng, trong đó có Tuyên ngôn Nhân quyền thế giới (năm 1948), Công ước quốc tế về các quyền kinh tế, xã hội và văn hoá (năm 1966), Công ước quốc tế về các quyền dân sự và chính trị (năm 1966) [...] Liên hợp quốc cũng đặc biệt chú trọng đến việc bảo đảm thực hiện quyền con người thông qua các cơ chế, như Hội đồng Nhân quyền Liên hợp quốc, các báo cáo viên đặc biệt của Liên hợp quốc cùng hệ thống cơ quan công ước quốc tế về quyền con người.”
(“Quan hệ Việt Nam - Liên hợp quốc: Khởi đầu hợp tác mới vì một tương lai tốt đẹp của nhân loại”, Tạp chí Cộng sản, đăng ngày 21/09/2024, https://www.tapchicongsan.org.vn)
Tư liệu 2. “Việt Nam đã 2 lần trúng cử vào Hội đồng Nhân quyền Liên Hiệp Quốc. Lần đầu tiên vào năm 2013, Việt Nam trúng cử vào hội đồng nhiệm kỳ 2014 - 2016. Ngày 11/10/2022, Việt Nam trúng cử trở thành thành viên của Hội đồng Nhân quyền Liên Hiệp Quốc nhiệm kỳ 2023 - 2025.”
(“Việt Nam tái ứng cử Hội đồng Nhân quyền Liên Hiệp Quốc nhiệm kỳ 2026 - 2028”, Báo Tuổi trẻ online, đăng ngày 13/12/2024, https://tuoitre.vn)</t>
  </si>
  <si>
    <t>“Ở “Trật tự hai cực I-an-ta”, Liên Xô đã đạt được 3 mục tiêu cơ bản: Bảo vệ vững chắc sự tồn tại và phát triển của đất nước Xô viết; thu hồi lại những đất đai của đế quốc Nga trước đây (kể từ chiến tranh Nga - Nhật 1904 - 1905 đến chiến tranh chống ngoại xâm và nội phản 1918 - 1920); mở rộng phạm vi ảnh hưởng ở châu Âu và châu Á, qua đó thiết lập một vành đai an toàn bao quanh phía tây, đông và nam Liên Xô. Còn Mỹ, với trật tự thế giới mới này, Mỹ đã khống chế được Tây Âu, Nhật Bản, chi phối cục diện thế giới. Mặt khác, sự thoả thuận giữa ba cường quốc ở Hội nghị I-an-ta đã xâm phạm đến chủ quyền, lãnh thổ và lợi ích của nhân dân nhiều nước”.
(Nguyễn Anh Thái (Chủ biên), Lịch sử thế giới hiện đại (1917 - 1995), NXB Giáo dục, 2006, tr. 234)</t>
  </si>
  <si>
    <t>“Cục diện thế giới hiện nay (từ đầu thế kỉ XXI đến nay), vừa chứa đựng một số đặc điểm kế thừa từ các cục diện trước đó, vừa có biểu hiện mới của đặc điểm cũ và cả những đặc điểm mới. Rõ nhất là đặc điểm đa cực, đa trung tâm: hiển nhiên đã từng xuất hiện từ những năm cuối thế kỉ XX, nhưng từ khi Trung Quốc trở thành nền kinh tế thứ hai thế giới (2010), tương quan quyền lực giữa các cực, các trung tâm đã khác hẳn, tạo cơ sở cho quyết định chấm dứt thời kì “giấu mình, chờ thời” (năm 2017) của các cường quốc đang trỗi dậy. Cuộc chiến tranh chiến lược Mỹ - Trung ở khu vực châu Á - Thái Bình Dương trong những năm vừa qua có thể được xem như đặc điểm mới của cục diện thế giới hiện nay, mặc dù đã manh nha từ nhiều năm trước.”
(Nguyễn Viết Thảo, “Bối cảnh hình thành và đặc điểm nổi bật của cục diện thế giới hiện nay”, Tạp chí Lí luận Chính trị số 541 (3/2023), tr. 151)</t>
  </si>
  <si>
    <t>Cho bảng thông tin sau:
Thời gian 	Nội dung
Ngày 8/8/1967	Tổ chức ASEAN được thành lập tại Băng Cốc (Thái Lan) với 5 nước sáng lập
Năm 1971	ASEAN ra Tuyên bố về khu vực hoà bình, tự do và trung lập.
Năm 1976	Hiệp ước Ba-li được kí kết, đề ra những nguyên tắc cơ bản trong quan hệ giữa các nước ASEAN.
Năm 1984	Bru-nây trở thành thành viên thứ 6 của ASEAN.
1995 - 1999	Việt Nam, Lào, Mi-an-ma, Cam-pu-chia gia nhập ASEAN.
Năm 2007	Hiến chương ASEAN được thông qua.</t>
  </si>
  <si>
    <t>Bài 1. Liên Hợp Quốc</t>
  </si>
  <si>
    <t>Bài 2. Trật tự thế giới trong Chiến tranh lạnh</t>
  </si>
  <si>
    <t>Bài 3. Trật tự thế giới sau Chiến tranh lạnh</t>
  </si>
  <si>
    <t>Bài 4. Sự ra đời và phát triển  của Hiệp hội các quốc gia Đông Nam Á</t>
  </si>
  <si>
    <t>Bài 5. Cộng đồng ASEAN Từ ý tưởng đến hiện thực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</si>
</sst>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18"/>
      <color theme="1"/>
      <name val="Times New Roman"/>
      <family val="1"/>
    </font>
    <font>
      <b/>
      <i/>
      <sz val="18"/>
      <color rgb="FF333333"/>
      <name val="Times New Roman"/>
      <family val="1"/>
    </font>
    <font>
      <b/>
      <sz val="18"/>
      <name val="Times New Roman"/>
      <family val="1"/>
    </font>
    <font>
      <sz val="18"/>
      <color theme="1"/>
      <name val="Times New Roman"/>
      <family val="1"/>
    </font>
    <font>
      <b/>
      <sz val="18"/>
      <color rgb="FFFF0000"/>
      <name val="Times New Roman"/>
      <family val="1"/>
    </font>
    <font>
      <sz val="16"/>
      <color theme="1"/>
      <name val="Aptos Narrow"/>
      <family val="2"/>
      <scheme val="minor"/>
    </font>
    <font>
      <sz val="16"/>
      <color theme="1"/>
      <name val="Times New Roman"/>
      <family val="1"/>
    </font>
  </fonts>
  <fills count="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rgb="FFC9DAF8"/>
        <bgColor rgb="FFC9DAF8"/>
      </patternFill>
    </fill>
    <fill>
      <patternFill patternType="solid">
        <fgColor theme="3" tint="0.749992370372631"/>
        <bgColor rgb="FFC9DAF8"/>
      </patternFill>
    </fill>
    <fill>
      <patternFill patternType="solid">
        <fgColor theme="3" tint="0.74999237037263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7">
    <xf numFmtId="0" fontId="0" fillId="0" borderId="0" xfId="0"/>
    <xf numFmtId="0" fontId="1" fillId="0" borderId="0" xfId="0" applyFont="1"/>
    <xf numFmtId="0" fontId="0" fillId="0" borderId="0" xfId="0" applyAlignment="1">
      <alignment horizontal="center"/>
    </xf>
    <xf numFmtId="0" fontId="2" fillId="2" borderId="2"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 fillId="0" borderId="0" xfId="0" applyFont="1" applyAlignment="1">
      <alignment vertical="top" wrapText="1"/>
    </xf>
    <xf numFmtId="0" fontId="5" fillId="0" borderId="1" xfId="0" applyFont="1" applyBorder="1" applyAlignment="1">
      <alignment horizontal="left" vertical="top" wrapText="1"/>
    </xf>
    <xf numFmtId="0" fontId="2"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2" fillId="0" borderId="1" xfId="0" applyFont="1" applyBorder="1" applyAlignment="1">
      <alignment vertical="top" wrapText="1"/>
    </xf>
    <xf numFmtId="0" fontId="2" fillId="0" borderId="1" xfId="0" applyFont="1" applyBorder="1" applyAlignment="1">
      <alignment horizontal="left" vertical="center" wrapText="1"/>
    </xf>
    <xf numFmtId="49" fontId="5" fillId="0" borderId="1" xfId="0" applyNumberFormat="1" applyFont="1" applyBorder="1" applyAlignment="1">
      <alignment vertical="top" wrapText="1"/>
    </xf>
    <xf numFmtId="0" fontId="2" fillId="3" borderId="1" xfId="0" applyFont="1" applyFill="1" applyBorder="1" applyAlignment="1">
      <alignment horizontal="center" vertical="center"/>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horizontal="justify" vertical="center" wrapText="1"/>
    </xf>
    <xf numFmtId="0" fontId="5" fillId="0" borderId="1" xfId="0" applyFont="1" applyBorder="1" applyAlignment="1">
      <alignment horizontal="justify" vertical="center" wrapText="1"/>
    </xf>
    <xf numFmtId="0" fontId="2" fillId="2" borderId="1" xfId="0" applyFont="1" applyFill="1" applyBorder="1" applyAlignment="1">
      <alignment horizontal="justify" vertical="center" wrapText="1"/>
    </xf>
    <xf numFmtId="0" fontId="2" fillId="2" borderId="1" xfId="0" applyFont="1" applyFill="1" applyBorder="1"/>
    <xf numFmtId="0" fontId="2" fillId="2" borderId="1" xfId="0" applyFont="1" applyFill="1" applyBorder="1" applyAlignment="1">
      <alignment horizontal="center"/>
    </xf>
    <xf numFmtId="0" fontId="2" fillId="2" borderId="6" xfId="0" applyFont="1" applyFill="1" applyBorder="1"/>
    <xf numFmtId="0" fontId="7" fillId="4" borderId="1" xfId="0" applyFont="1" applyFill="1" applyBorder="1" applyAlignment="1">
      <alignment wrapText="1"/>
    </xf>
    <xf numFmtId="0" fontId="1" fillId="3" borderId="1" xfId="0" applyFont="1" applyFill="1" applyBorder="1" applyAlignment="1">
      <alignment vertical="center" wrapText="1"/>
    </xf>
    <xf numFmtId="0" fontId="0" fillId="0" borderId="1" xfId="0" applyBorder="1"/>
    <xf numFmtId="0" fontId="8" fillId="5" borderId="1" xfId="0" applyFont="1" applyFill="1" applyBorder="1" applyAlignment="1">
      <alignment wrapText="1"/>
    </xf>
    <xf numFmtId="0" fontId="8" fillId="6" borderId="0" xfId="0" applyFont="1" applyFill="1" applyAlignment="1">
      <alignment wrapText="1"/>
    </xf>
    <xf numFmtId="0" fontId="1" fillId="2" borderId="1" xfId="0" applyFont="1" applyFill="1" applyBorder="1"/>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xf>
    <xf numFmtId="0" fontId="2" fillId="2" borderId="7" xfId="0" applyFont="1" applyFill="1" applyBorder="1" applyAlignment="1">
      <alignment horizontal="center"/>
    </xf>
    <xf numFmtId="0" fontId="2" fillId="2" borderId="2" xfId="0" applyFont="1" applyFill="1" applyBorder="1" applyAlignment="1">
      <alignment horizontal="center"/>
    </xf>
    <xf numFmtId="0" fontId="2" fillId="2" borderId="1" xfId="0" applyFont="1" applyFill="1" applyBorder="1" applyAlignment="1">
      <alignment horizontal="center" vertical="center"/>
    </xf>
    <xf numFmtId="0" fontId="6" fillId="2" borderId="6" xfId="0" applyFont="1" applyFill="1" applyBorder="1" applyAlignment="1">
      <alignment horizontal="center"/>
    </xf>
    <xf numFmtId="0" fontId="6" fillId="2" borderId="7" xfId="0" applyFont="1" applyFill="1" applyBorder="1" applyAlignment="1">
      <alignment horizontal="center"/>
    </xf>
    <xf numFmtId="0" fontId="6" fillId="2" borderId="2" xfId="0" applyFont="1" applyFill="1" applyBorder="1" applyAlignment="1">
      <alignment horizontal="center"/>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28"/>
  <sheetViews>
    <sheetView tabSelected="1" topLeftCell="B10" zoomScale="60" zoomScaleNormal="60" zoomScaleSheetLayoutView="87" workbookViewId="0">
      <selection activeCell="D11" sqref="D11"/>
    </sheetView>
  </sheetViews>
  <sheetFormatPr defaultRowHeight="36.75" customHeight="1" x14ac:dyDescent="0.25"/>
  <cols>
    <col min="1" max="1" width="0" hidden="1" customWidth="1"/>
    <col min="2" max="2" width="6.5703125" style="1" customWidth="1"/>
    <col min="3" max="3" width="33.28515625" bestFit="1" customWidth="1"/>
    <col min="4" max="4" width="39.7109375" customWidth="1"/>
    <col min="5" max="5" width="47.140625" customWidth="1"/>
    <col min="6" max="6" width="16.42578125" style="2" customWidth="1"/>
    <col min="7" max="7" width="18.28515625" style="2" bestFit="1" customWidth="1"/>
    <col min="8" max="8" width="31" style="2" customWidth="1"/>
    <col min="9" max="9" width="24.85546875" style="2" customWidth="1"/>
    <col min="10" max="10" width="18.28515625" style="2" bestFit="1" customWidth="1"/>
    <col min="11" max="11" width="27.7109375" style="2" customWidth="1"/>
    <col min="12" max="12" width="15.7109375" style="2" bestFit="1" customWidth="1"/>
    <col min="13" max="13" width="18.28515625" style="2" bestFit="1" customWidth="1"/>
    <col min="14" max="14" width="33" style="2" customWidth="1"/>
    <col min="15" max="15" width="53.28515625" customWidth="1"/>
    <col min="16" max="16" width="43.42578125" customWidth="1"/>
  </cols>
  <sheetData>
    <row r="1" spans="2:16" ht="36.75" customHeight="1" x14ac:dyDescent="0.25">
      <c r="B1" s="30" t="s">
        <v>0</v>
      </c>
      <c r="C1" s="28" t="s">
        <v>1</v>
      </c>
      <c r="D1" s="27" t="s">
        <v>2</v>
      </c>
      <c r="E1" s="27" t="s">
        <v>3</v>
      </c>
      <c r="F1" s="45" t="s">
        <v>4</v>
      </c>
      <c r="G1" s="46"/>
      <c r="H1" s="46"/>
      <c r="I1" s="46" t="s">
        <v>62</v>
      </c>
      <c r="J1" s="46"/>
      <c r="K1" s="46"/>
      <c r="L1" s="46" t="s">
        <v>5</v>
      </c>
      <c r="M1" s="46"/>
      <c r="N1" s="46"/>
      <c r="O1" s="35" t="s">
        <v>66</v>
      </c>
      <c r="P1" s="35"/>
    </row>
    <row r="2" spans="2:16" ht="36.75" customHeight="1" x14ac:dyDescent="0.25">
      <c r="B2" s="31"/>
      <c r="C2" s="29"/>
      <c r="D2" s="27"/>
      <c r="E2" s="29"/>
      <c r="F2" s="3" t="s">
        <v>6</v>
      </c>
      <c r="G2" s="4" t="s">
        <v>7</v>
      </c>
      <c r="H2" s="4" t="s">
        <v>8</v>
      </c>
      <c r="I2" s="4" t="s">
        <v>6</v>
      </c>
      <c r="J2" s="4" t="s">
        <v>7</v>
      </c>
      <c r="K2" s="4" t="s">
        <v>8</v>
      </c>
      <c r="L2" s="4" t="s">
        <v>6</v>
      </c>
      <c r="M2" s="4" t="s">
        <v>7</v>
      </c>
      <c r="N2" s="4" t="s">
        <v>8</v>
      </c>
      <c r="O2" s="35"/>
      <c r="P2" s="35"/>
    </row>
    <row r="3" spans="2:16" ht="119.45" customHeight="1" x14ac:dyDescent="0.3">
      <c r="B3" s="42">
        <v>1</v>
      </c>
      <c r="C3" s="39" t="s">
        <v>16</v>
      </c>
      <c r="D3" s="5" t="s">
        <v>71</v>
      </c>
      <c r="E3" s="6" t="s">
        <v>46</v>
      </c>
      <c r="F3" s="7" t="s">
        <v>17</v>
      </c>
      <c r="G3" s="7"/>
      <c r="H3" s="7"/>
      <c r="I3" s="7" t="s">
        <v>63</v>
      </c>
      <c r="J3" s="7"/>
      <c r="K3" s="7"/>
      <c r="L3" s="8"/>
      <c r="M3" s="8"/>
      <c r="N3" s="8"/>
      <c r="O3" s="24" t="s">
        <v>67</v>
      </c>
      <c r="P3" s="24"/>
    </row>
    <row r="4" spans="2:16" ht="152.1" customHeight="1" x14ac:dyDescent="0.3">
      <c r="B4" s="43"/>
      <c r="C4" s="40"/>
      <c r="D4" s="9" t="s">
        <v>72</v>
      </c>
      <c r="E4" s="6" t="s">
        <v>47</v>
      </c>
      <c r="F4" s="7" t="s">
        <v>21</v>
      </c>
      <c r="G4" s="7"/>
      <c r="H4" s="7"/>
      <c r="I4" s="7" t="s">
        <v>39</v>
      </c>
      <c r="J4" s="7"/>
      <c r="K4" s="7"/>
      <c r="L4" s="8"/>
      <c r="M4" s="8"/>
      <c r="N4" s="8"/>
      <c r="O4" s="24" t="s">
        <v>68</v>
      </c>
      <c r="P4" s="24"/>
    </row>
    <row r="5" spans="2:16" ht="95.45" customHeight="1" x14ac:dyDescent="0.3">
      <c r="B5" s="43"/>
      <c r="C5" s="40"/>
      <c r="D5" s="9" t="s">
        <v>73</v>
      </c>
      <c r="E5" s="6" t="s">
        <v>48</v>
      </c>
      <c r="F5" s="7" t="s">
        <v>24</v>
      </c>
      <c r="G5" s="7" t="s">
        <v>60</v>
      </c>
      <c r="H5" s="7"/>
      <c r="I5" s="7" t="s">
        <v>64</v>
      </c>
      <c r="J5" s="7"/>
      <c r="K5" s="7"/>
      <c r="L5" s="8"/>
      <c r="M5" s="8"/>
      <c r="N5" s="8"/>
      <c r="O5" s="24" t="s">
        <v>69</v>
      </c>
      <c r="P5" s="24"/>
    </row>
    <row r="6" spans="2:16" ht="168" customHeight="1" x14ac:dyDescent="0.3">
      <c r="B6" s="43"/>
      <c r="C6" s="40"/>
      <c r="D6" s="10" t="s">
        <v>74</v>
      </c>
      <c r="E6" s="6" t="s">
        <v>49</v>
      </c>
      <c r="F6" s="7" t="s">
        <v>28</v>
      </c>
      <c r="G6" s="7" t="s">
        <v>29</v>
      </c>
      <c r="H6" s="7"/>
      <c r="I6" s="7" t="s">
        <v>65</v>
      </c>
      <c r="J6" s="7"/>
      <c r="K6" s="7"/>
      <c r="L6" s="8"/>
      <c r="M6" s="8"/>
      <c r="N6" s="8"/>
      <c r="O6" s="24" t="s">
        <v>70</v>
      </c>
      <c r="P6" s="24"/>
    </row>
    <row r="7" spans="2:16" ht="123.6" customHeight="1" x14ac:dyDescent="0.3">
      <c r="B7" s="44"/>
      <c r="C7" s="41"/>
      <c r="D7" s="10" t="s">
        <v>75</v>
      </c>
      <c r="E7" s="6" t="s">
        <v>50</v>
      </c>
      <c r="F7" s="7" t="s">
        <v>34</v>
      </c>
      <c r="G7" s="7" t="s">
        <v>35</v>
      </c>
      <c r="H7" s="7"/>
      <c r="I7" s="7"/>
      <c r="J7" s="7"/>
      <c r="K7" s="7"/>
      <c r="L7" s="8"/>
      <c r="M7" s="8"/>
      <c r="N7" s="8"/>
      <c r="O7" s="24"/>
      <c r="P7" s="24"/>
    </row>
    <row r="8" spans="2:16" ht="172.5" customHeight="1" x14ac:dyDescent="0.3">
      <c r="B8" s="42">
        <v>2</v>
      </c>
      <c r="C8" s="39" t="s">
        <v>14</v>
      </c>
      <c r="D8" s="5" t="s">
        <v>71</v>
      </c>
      <c r="E8" s="6" t="s">
        <v>51</v>
      </c>
      <c r="F8" s="7" t="s">
        <v>18</v>
      </c>
      <c r="G8" s="7" t="s">
        <v>19</v>
      </c>
      <c r="H8" s="7"/>
      <c r="I8" s="7"/>
      <c r="J8" s="7" t="s">
        <v>37</v>
      </c>
      <c r="K8" s="7"/>
      <c r="L8" s="8"/>
      <c r="M8" s="8"/>
      <c r="N8" s="8"/>
      <c r="O8" s="24"/>
      <c r="P8" s="24"/>
    </row>
    <row r="9" spans="2:16" ht="246" customHeight="1" x14ac:dyDescent="0.3">
      <c r="B9" s="43"/>
      <c r="C9" s="40"/>
      <c r="D9" s="9" t="s">
        <v>72</v>
      </c>
      <c r="E9" s="6" t="s">
        <v>52</v>
      </c>
      <c r="F9" s="7" t="s">
        <v>22</v>
      </c>
      <c r="G9" s="7" t="s">
        <v>23</v>
      </c>
      <c r="H9" s="7"/>
      <c r="I9" s="7"/>
      <c r="J9" s="7" t="s">
        <v>45</v>
      </c>
      <c r="K9" s="7"/>
      <c r="L9" s="8"/>
      <c r="M9" s="8"/>
      <c r="N9" s="8"/>
      <c r="O9" s="24"/>
      <c r="P9" s="24"/>
    </row>
    <row r="10" spans="2:16" ht="221.45" customHeight="1" x14ac:dyDescent="0.3">
      <c r="B10" s="43"/>
      <c r="C10" s="40"/>
      <c r="D10" s="9" t="s">
        <v>73</v>
      </c>
      <c r="E10" s="6" t="s">
        <v>53</v>
      </c>
      <c r="F10" s="7" t="s">
        <v>25</v>
      </c>
      <c r="G10" s="7" t="s">
        <v>26</v>
      </c>
      <c r="H10" s="7"/>
      <c r="I10" s="7"/>
      <c r="J10" s="7" t="s">
        <v>43</v>
      </c>
      <c r="K10" s="7"/>
      <c r="L10" s="8"/>
      <c r="M10" s="8"/>
      <c r="N10" s="8"/>
      <c r="O10" s="25"/>
      <c r="P10" s="24"/>
    </row>
    <row r="11" spans="2:16" ht="251.1" customHeight="1" x14ac:dyDescent="0.3">
      <c r="B11" s="43"/>
      <c r="C11" s="40"/>
      <c r="D11" s="10" t="s">
        <v>74</v>
      </c>
      <c r="E11" s="6" t="s">
        <v>54</v>
      </c>
      <c r="F11" s="7" t="s">
        <v>30</v>
      </c>
      <c r="G11" s="7" t="s">
        <v>31</v>
      </c>
      <c r="H11" s="7"/>
      <c r="I11" s="7"/>
      <c r="J11" s="7" t="s">
        <v>44</v>
      </c>
      <c r="K11" s="7"/>
      <c r="L11" s="8"/>
      <c r="M11" s="8"/>
      <c r="N11" s="8"/>
      <c r="O11" s="24"/>
      <c r="P11" s="24"/>
    </row>
    <row r="12" spans="2:16" ht="122.1" customHeight="1" x14ac:dyDescent="0.3">
      <c r="B12" s="44"/>
      <c r="C12" s="41"/>
      <c r="D12" s="10" t="s">
        <v>75</v>
      </c>
      <c r="E12" s="6" t="s">
        <v>61</v>
      </c>
      <c r="F12" s="7"/>
      <c r="G12" s="7" t="s">
        <v>36</v>
      </c>
      <c r="H12" s="7"/>
      <c r="I12" s="7"/>
      <c r="J12" s="7"/>
      <c r="K12" s="7"/>
      <c r="L12" s="8"/>
      <c r="M12" s="8"/>
      <c r="N12" s="8"/>
      <c r="O12" s="24"/>
      <c r="P12" s="24"/>
    </row>
    <row r="13" spans="2:16" ht="155.44999999999999" customHeight="1" x14ac:dyDescent="0.3">
      <c r="B13" s="42">
        <v>3</v>
      </c>
      <c r="C13" s="39" t="s">
        <v>15</v>
      </c>
      <c r="D13" s="5" t="s">
        <v>71</v>
      </c>
      <c r="E13" s="6" t="s">
        <v>55</v>
      </c>
      <c r="F13" s="7"/>
      <c r="G13" s="7"/>
      <c r="H13" s="7" t="s">
        <v>20</v>
      </c>
      <c r="I13" s="7"/>
      <c r="J13" s="7"/>
      <c r="K13" s="7" t="s">
        <v>38</v>
      </c>
      <c r="L13" s="8"/>
      <c r="M13" s="8"/>
      <c r="N13" s="8"/>
      <c r="O13" s="24"/>
      <c r="P13" s="24"/>
    </row>
    <row r="14" spans="2:16" ht="86.45" customHeight="1" x14ac:dyDescent="0.3">
      <c r="B14" s="43"/>
      <c r="C14" s="40"/>
      <c r="D14" s="9" t="s">
        <v>72</v>
      </c>
      <c r="E14" s="6" t="s">
        <v>56</v>
      </c>
      <c r="F14" s="7"/>
      <c r="G14" s="7"/>
      <c r="H14" s="7"/>
      <c r="I14" s="7"/>
      <c r="J14" s="7"/>
      <c r="K14" s="7" t="s">
        <v>40</v>
      </c>
      <c r="L14" s="8"/>
      <c r="M14" s="8"/>
      <c r="N14" s="8"/>
      <c r="O14" s="24"/>
      <c r="P14" s="24"/>
    </row>
    <row r="15" spans="2:16" ht="107.1" customHeight="1" x14ac:dyDescent="0.3">
      <c r="B15" s="43"/>
      <c r="C15" s="40"/>
      <c r="D15" s="9" t="s">
        <v>73</v>
      </c>
      <c r="E15" s="6" t="s">
        <v>57</v>
      </c>
      <c r="F15" s="7"/>
      <c r="G15" s="7"/>
      <c r="H15" s="7" t="s">
        <v>27</v>
      </c>
      <c r="I15" s="7"/>
      <c r="J15" s="7"/>
      <c r="K15" s="7" t="s">
        <v>41</v>
      </c>
      <c r="L15" s="8"/>
      <c r="M15" s="8"/>
      <c r="N15" s="8"/>
      <c r="O15" s="24"/>
      <c r="P15" s="24"/>
    </row>
    <row r="16" spans="2:16" ht="107.1" customHeight="1" x14ac:dyDescent="0.3">
      <c r="B16" s="43"/>
      <c r="C16" s="40"/>
      <c r="D16" s="10" t="s">
        <v>74</v>
      </c>
      <c r="E16" s="6" t="s">
        <v>58</v>
      </c>
      <c r="F16" s="7"/>
      <c r="G16" s="7"/>
      <c r="H16" s="7" t="s">
        <v>32</v>
      </c>
      <c r="I16" s="7"/>
      <c r="J16" s="7"/>
      <c r="K16" s="7" t="s">
        <v>42</v>
      </c>
      <c r="L16" s="8"/>
      <c r="M16" s="8"/>
      <c r="N16" s="8"/>
      <c r="O16" s="24"/>
      <c r="P16" s="24"/>
    </row>
    <row r="17" spans="2:16" ht="91.5" customHeight="1" x14ac:dyDescent="0.3">
      <c r="B17" s="44"/>
      <c r="C17" s="41"/>
      <c r="D17" s="10" t="s">
        <v>75</v>
      </c>
      <c r="E17" s="11" t="s">
        <v>59</v>
      </c>
      <c r="F17" s="7"/>
      <c r="G17" s="7"/>
      <c r="H17" s="7" t="s">
        <v>33</v>
      </c>
      <c r="I17" s="7"/>
      <c r="J17" s="7"/>
      <c r="K17" s="7"/>
      <c r="L17" s="8"/>
      <c r="M17" s="8"/>
      <c r="N17" s="8"/>
      <c r="O17" s="24"/>
      <c r="P17" s="24"/>
    </row>
    <row r="18" spans="2:16" ht="19.5" hidden="1" customHeight="1" x14ac:dyDescent="0.35">
      <c r="B18" s="12">
        <v>4</v>
      </c>
      <c r="C18" s="7"/>
      <c r="D18" s="7"/>
      <c r="E18" s="13"/>
      <c r="F18" s="7"/>
      <c r="G18" s="7"/>
      <c r="H18" s="7"/>
      <c r="I18" s="7"/>
      <c r="J18" s="7"/>
      <c r="K18" s="7"/>
      <c r="L18" s="8"/>
      <c r="M18" s="8"/>
      <c r="N18" s="8"/>
      <c r="O18" s="21"/>
      <c r="P18" s="21"/>
    </row>
    <row r="19" spans="2:16" ht="19.5" hidden="1" customHeight="1" x14ac:dyDescent="0.35">
      <c r="B19" s="12">
        <v>5</v>
      </c>
      <c r="C19" s="8"/>
      <c r="D19" s="8"/>
      <c r="E19" s="14"/>
      <c r="F19" s="8"/>
      <c r="G19" s="8"/>
      <c r="H19" s="8"/>
      <c r="I19" s="8"/>
      <c r="J19" s="8"/>
      <c r="K19" s="8"/>
      <c r="L19" s="8"/>
      <c r="M19" s="8"/>
      <c r="N19" s="8"/>
      <c r="O19" s="21"/>
      <c r="P19" s="21"/>
    </row>
    <row r="20" spans="2:16" ht="19.5" hidden="1" customHeight="1" x14ac:dyDescent="0.35">
      <c r="B20" s="12">
        <v>6</v>
      </c>
      <c r="C20" s="15"/>
      <c r="D20" s="15"/>
      <c r="E20" s="16"/>
      <c r="F20" s="8"/>
      <c r="G20" s="8"/>
      <c r="H20" s="8"/>
      <c r="I20" s="8"/>
      <c r="J20" s="8"/>
      <c r="K20" s="8"/>
      <c r="L20" s="8"/>
      <c r="M20" s="8"/>
      <c r="N20" s="8"/>
      <c r="O20" s="21"/>
      <c r="P20" s="21"/>
    </row>
    <row r="21" spans="2:16" ht="19.5" hidden="1" customHeight="1" x14ac:dyDescent="0.35">
      <c r="B21" s="12">
        <v>7</v>
      </c>
      <c r="C21" s="15"/>
      <c r="D21" s="15"/>
      <c r="E21" s="16"/>
      <c r="F21" s="8"/>
      <c r="G21" s="8"/>
      <c r="H21" s="8"/>
      <c r="I21" s="8"/>
      <c r="J21" s="8"/>
      <c r="K21" s="8"/>
      <c r="L21" s="8"/>
      <c r="M21" s="8"/>
      <c r="N21" s="8"/>
      <c r="O21" s="21"/>
      <c r="P21" s="21"/>
    </row>
    <row r="22" spans="2:16" ht="19.5" hidden="1" customHeight="1" x14ac:dyDescent="0.25">
      <c r="B22" s="12">
        <v>8</v>
      </c>
      <c r="C22" s="15"/>
      <c r="D22" s="15"/>
      <c r="E22" s="16"/>
      <c r="F22" s="8"/>
      <c r="G22" s="8"/>
      <c r="H22" s="8"/>
      <c r="I22" s="8"/>
      <c r="J22" s="8"/>
      <c r="K22" s="8"/>
      <c r="L22" s="8"/>
      <c r="M22" s="8"/>
      <c r="N22" s="8"/>
      <c r="O22" s="22"/>
      <c r="P22" s="23"/>
    </row>
    <row r="23" spans="2:16" ht="19.5" hidden="1" customHeight="1" x14ac:dyDescent="0.25">
      <c r="B23" s="12">
        <v>9</v>
      </c>
      <c r="C23" s="15"/>
      <c r="D23" s="15"/>
      <c r="E23" s="16"/>
      <c r="F23" s="8"/>
      <c r="G23" s="8"/>
      <c r="H23" s="8"/>
      <c r="I23" s="8"/>
      <c r="J23" s="8"/>
      <c r="K23" s="8"/>
      <c r="L23" s="8"/>
      <c r="M23" s="8"/>
      <c r="N23" s="8"/>
      <c r="O23" s="22"/>
      <c r="P23" s="23"/>
    </row>
    <row r="24" spans="2:16" ht="19.5" hidden="1" customHeight="1" x14ac:dyDescent="0.25">
      <c r="B24" s="12">
        <v>10</v>
      </c>
      <c r="C24" s="15"/>
      <c r="D24" s="15"/>
      <c r="E24" s="16"/>
      <c r="F24" s="8"/>
      <c r="G24" s="8"/>
      <c r="H24" s="8"/>
      <c r="I24" s="8"/>
      <c r="J24" s="8"/>
      <c r="K24" s="8"/>
      <c r="L24" s="8"/>
      <c r="M24" s="8"/>
      <c r="N24" s="8"/>
      <c r="O24" s="22"/>
      <c r="P24" s="23"/>
    </row>
    <row r="25" spans="2:16" s="1" customFormat="1" ht="36.75" customHeight="1" x14ac:dyDescent="0.25">
      <c r="B25" s="35" t="s">
        <v>9</v>
      </c>
      <c r="C25" s="17" t="s">
        <v>10</v>
      </c>
      <c r="D25" s="17"/>
      <c r="E25" s="17"/>
      <c r="F25" s="4">
        <v>12</v>
      </c>
      <c r="G25" s="4">
        <v>8</v>
      </c>
      <c r="H25" s="4">
        <v>4</v>
      </c>
      <c r="I25" s="4">
        <v>8</v>
      </c>
      <c r="J25" s="4">
        <v>4</v>
      </c>
      <c r="K25" s="4">
        <v>4</v>
      </c>
      <c r="L25" s="4">
        <f t="shared" ref="L25:N25" si="0">SUM(L3:L24)</f>
        <v>0</v>
      </c>
      <c r="M25" s="4">
        <f t="shared" si="0"/>
        <v>0</v>
      </c>
      <c r="N25" s="4">
        <f t="shared" si="0"/>
        <v>0</v>
      </c>
      <c r="O25" s="26"/>
      <c r="P25" s="26"/>
    </row>
    <row r="26" spans="2:16" s="1" customFormat="1" ht="36.75" customHeight="1" x14ac:dyDescent="0.3">
      <c r="B26" s="35"/>
      <c r="C26" s="18" t="s">
        <v>11</v>
      </c>
      <c r="D26" s="18"/>
      <c r="E26" s="18"/>
      <c r="F26" s="19">
        <f>(F25/40)*100</f>
        <v>30</v>
      </c>
      <c r="G26" s="19">
        <f>(G25/40)*100</f>
        <v>20</v>
      </c>
      <c r="H26" s="19">
        <f t="shared" ref="H26:N26" si="1">(H25/40)*100</f>
        <v>10</v>
      </c>
      <c r="I26" s="19">
        <f t="shared" si="1"/>
        <v>20</v>
      </c>
      <c r="J26" s="19">
        <f t="shared" si="1"/>
        <v>10</v>
      </c>
      <c r="K26" s="19">
        <f t="shared" si="1"/>
        <v>10</v>
      </c>
      <c r="L26" s="19">
        <f t="shared" si="1"/>
        <v>0</v>
      </c>
      <c r="M26" s="19">
        <f t="shared" si="1"/>
        <v>0</v>
      </c>
      <c r="N26" s="19">
        <f t="shared" si="1"/>
        <v>0</v>
      </c>
      <c r="O26" s="26"/>
      <c r="P26" s="26"/>
    </row>
    <row r="27" spans="2:16" s="1" customFormat="1" ht="36.75" customHeight="1" x14ac:dyDescent="0.3">
      <c r="B27" s="35"/>
      <c r="C27" s="18" t="s">
        <v>12</v>
      </c>
      <c r="D27" s="20"/>
      <c r="E27" s="20"/>
      <c r="F27" s="36">
        <v>24</v>
      </c>
      <c r="G27" s="37"/>
      <c r="H27" s="38"/>
      <c r="I27" s="36">
        <f>I25+J25+K25</f>
        <v>16</v>
      </c>
      <c r="J27" s="37"/>
      <c r="K27" s="38"/>
      <c r="L27" s="36">
        <f>L25+M25+N25</f>
        <v>0</v>
      </c>
      <c r="M27" s="37"/>
      <c r="N27" s="38"/>
      <c r="O27" s="26"/>
      <c r="P27" s="26"/>
    </row>
    <row r="28" spans="2:16" s="1" customFormat="1" ht="36.75" customHeight="1" x14ac:dyDescent="0.3">
      <c r="B28" s="35"/>
      <c r="C28" s="18" t="s">
        <v>13</v>
      </c>
      <c r="D28" s="20"/>
      <c r="E28" s="20"/>
      <c r="F28" s="32">
        <f>(F27/40)*100</f>
        <v>60</v>
      </c>
      <c r="G28" s="33"/>
      <c r="H28" s="34"/>
      <c r="I28" s="32">
        <f>(I27/40)*100</f>
        <v>40</v>
      </c>
      <c r="J28" s="33"/>
      <c r="K28" s="34"/>
      <c r="L28" s="32">
        <f>(L27/40)*100</f>
        <v>0</v>
      </c>
      <c r="M28" s="33"/>
      <c r="N28" s="34"/>
      <c r="O28" s="26"/>
      <c r="P28" s="26"/>
    </row>
  </sheetData>
  <mergeCells count="21">
    <mergeCell ref="O1:P2"/>
    <mergeCell ref="F1:H1"/>
    <mergeCell ref="I1:K1"/>
    <mergeCell ref="L1:N1"/>
    <mergeCell ref="E1:E2"/>
    <mergeCell ref="D1:D2"/>
    <mergeCell ref="C1:C2"/>
    <mergeCell ref="B1:B2"/>
    <mergeCell ref="L28:N28"/>
    <mergeCell ref="B25:B28"/>
    <mergeCell ref="F27:H27"/>
    <mergeCell ref="I27:K27"/>
    <mergeCell ref="L27:N27"/>
    <mergeCell ref="F28:H28"/>
    <mergeCell ref="I28:K28"/>
    <mergeCell ref="C3:C7"/>
    <mergeCell ref="C8:C12"/>
    <mergeCell ref="C13:C17"/>
    <mergeCell ref="B3:B7"/>
    <mergeCell ref="B8:B12"/>
    <mergeCell ref="B13:B1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Sử 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Ngo Thi Thanh</dc:creator>
  <cp:keywords/>
  <dc:description/>
  <cp:lastModifiedBy>Nguyễn Tiến  Trung</cp:lastModifiedBy>
  <cp:revision/>
  <dcterms:created xsi:type="dcterms:W3CDTF">2024-01-16T04:23:39Z</dcterms:created>
  <dcterms:modified xsi:type="dcterms:W3CDTF">2025-12-18T03:51:57Z</dcterms:modified>
  <cp:category/>
  <cp:contentStatus/>
</cp:coreProperties>
</file>