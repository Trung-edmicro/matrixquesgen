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ool\CV\CV_code\MatrixQuesGen\data\input\"/>
    </mc:Choice>
  </mc:AlternateContent>
  <bookViews>
    <workbookView xWindow="0" yWindow="0" windowWidth="38400" windowHeight="17010"/>
  </bookViews>
  <sheets>
    <sheet name="Sử 12" sheetId="7"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25" i="7" l="1"/>
  <c r="N26" i="7" s="1"/>
  <c r="M25" i="7"/>
  <c r="M26" i="7" s="1"/>
  <c r="L25" i="7"/>
  <c r="K26" i="7"/>
  <c r="J26" i="7"/>
  <c r="I26" i="7"/>
  <c r="H26" i="7"/>
  <c r="G26" i="7"/>
  <c r="F26" i="7"/>
  <c r="L27" i="7" l="1"/>
  <c r="L28" i="7" s="1"/>
  <c r="L26" i="7"/>
  <c r="F28" i="7"/>
  <c r="I27" i="7"/>
  <c r="I28" i="7" s="1"/>
</calcChain>
</file>

<file path=xl/sharedStrings.xml><?xml version="1.0" encoding="utf-8"?>
<sst xmlns="http://schemas.openxmlformats.org/spreadsheetml/2006/main" count="87" uniqueCount="71">
  <si>
    <t>Stt</t>
  </si>
  <si>
    <t>Thành phần năng lực</t>
  </si>
  <si>
    <t>Tên chương - Bài</t>
  </si>
  <si>
    <t>Đặc tả ma trận</t>
  </si>
  <si>
    <t>Câu hỏi trắc nghiệm nhiều lựa chọn</t>
  </si>
  <si>
    <t>Câu hỏi trắc nghiệm dạng trả lời ngắn</t>
  </si>
  <si>
    <t>Nhận biết</t>
  </si>
  <si>
    <t>Thông hiểu</t>
  </si>
  <si>
    <t>Vận dụng</t>
  </si>
  <si>
    <t>TH</t>
  </si>
  <si>
    <t>Tổng số câu</t>
  </si>
  <si>
    <t>Tỉ lệ %</t>
  </si>
  <si>
    <t>T số câu/ 1 dạng thức</t>
  </si>
  <si>
    <t xml:space="preserve">Tỉ lệ % dạng thức </t>
  </si>
  <si>
    <t>Nhận thức và tư duy lịch sử</t>
  </si>
  <si>
    <t>Vận dụng kiến thức và kĩ năng đã học</t>
  </si>
  <si>
    <t>\</t>
  </si>
  <si>
    <t>Bài 1. Liên Hợp Quốc</t>
  </si>
  <si>
    <t>Bài 2. Trật tự thế giới trong Chiến tranh lạnh</t>
  </si>
  <si>
    <t>Bài 3. Trật tự thế giới sau Chiến tranh lạnh</t>
  </si>
  <si>
    <t>Bài 4. Sự ra đời và phát triển  của Hiệp hội các quốc gia Đông Nam Á</t>
  </si>
  <si>
    <t>Bài 5. Cộng đồng ASEAN: Từ ý tưởng đến hiện thực</t>
  </si>
  <si>
    <t>2 (C1,2)</t>
  </si>
  <si>
    <t>1 (C3)</t>
  </si>
  <si>
    <t>1 (C4)</t>
  </si>
  <si>
    <t>1 (C5)</t>
  </si>
  <si>
    <t>2 (C6,7)</t>
  </si>
  <si>
    <t>1 (C8)</t>
  </si>
  <si>
    <t>1 (C9)</t>
  </si>
  <si>
    <t>1 (C10)</t>
  </si>
  <si>
    <t>1 (C11)</t>
  </si>
  <si>
    <t>1 (C13)</t>
  </si>
  <si>
    <t>1 (C14)</t>
  </si>
  <si>
    <t>1 (C15)</t>
  </si>
  <si>
    <t>1 (C17)</t>
  </si>
  <si>
    <t>1 (C16)</t>
  </si>
  <si>
    <t>1 (C18)</t>
  </si>
  <si>
    <t>1 (C19)</t>
  </si>
  <si>
    <t>1 (C24)</t>
  </si>
  <si>
    <t>2 (C20, 21)</t>
  </si>
  <si>
    <t>1 (C22)</t>
  </si>
  <si>
    <t>1 (C23)</t>
  </si>
  <si>
    <t>1 (C1c)</t>
  </si>
  <si>
    <t>1 (C1d)</t>
  </si>
  <si>
    <t>2 (C2a, C2b)</t>
  </si>
  <si>
    <t>1 (C2d)</t>
  </si>
  <si>
    <t>1 (C3d)</t>
  </si>
  <si>
    <t>1 (C4d)</t>
  </si>
  <si>
    <t>1 (C3c)</t>
  </si>
  <si>
    <t>1 (C4c)</t>
  </si>
  <si>
    <t>1 (C2c)</t>
  </si>
  <si>
    <r>
      <rPr>
        <b/>
        <sz val="18"/>
        <color theme="1"/>
        <rFont val="Times New Roman"/>
        <family val="1"/>
      </rPr>
      <t>Nhận biết:</t>
    </r>
    <r>
      <rPr>
        <sz val="18"/>
        <color theme="1"/>
        <rFont val="Times New Roman"/>
        <family val="1"/>
      </rPr>
      <t xml:space="preserve">
 Trình bày được bối cảnh lịch sử và quá trình hình thành Liên hợp quốc.
Trình bày được mục tiêu và nguyên tắc cơ bản của Liên hợp quốc.
</t>
    </r>
  </si>
  <si>
    <r>
      <rPr>
        <b/>
        <sz val="18"/>
        <color theme="1"/>
        <rFont val="Times New Roman"/>
        <family val="1"/>
      </rPr>
      <t>Nhận biết:</t>
    </r>
    <r>
      <rPr>
        <sz val="18"/>
        <color theme="1"/>
        <rFont val="Times New Roman"/>
        <family val="1"/>
      </rPr>
      <t xml:space="preserve">
 Trình bày được quá trình hình thành của Trật tự thế giới hai cực Ianta.
Trình bày được sự tồn tại của Trật tự thế giới hai cực Ianta.
</t>
    </r>
    <r>
      <rPr>
        <b/>
        <sz val="18"/>
        <color theme="1"/>
        <rFont val="Times New Roman"/>
        <family val="1"/>
      </rPr>
      <t>Thông hiểu:</t>
    </r>
    <r>
      <rPr>
        <sz val="18"/>
        <color theme="1"/>
        <rFont val="Times New Roman"/>
        <family val="1"/>
      </rPr>
      <t xml:space="preserve">
Phân tích được nguyên nhân dẫn đến sự sụp đổ của Trật tự thế giới hai cực Ianta.</t>
    </r>
  </si>
  <si>
    <r>
      <rPr>
        <b/>
        <sz val="18"/>
        <color theme="1"/>
        <rFont val="Times New Roman"/>
        <family val="1"/>
      </rPr>
      <t xml:space="preserve">Nhận biết:
</t>
    </r>
    <r>
      <rPr>
        <sz val="18"/>
        <color theme="1"/>
        <rFont val="Times New Roman"/>
        <family val="1"/>
      </rPr>
      <t>Nêu được xu thế phát triển chính của thế giới sau Chiến tranh lạnh</t>
    </r>
    <r>
      <rPr>
        <b/>
        <sz val="18"/>
        <color theme="1"/>
        <rFont val="Times New Roman"/>
        <family val="1"/>
      </rPr>
      <t xml:space="preserve">
Thông hiểu:</t>
    </r>
    <r>
      <rPr>
        <sz val="18"/>
        <color theme="1"/>
        <rFont val="Times New Roman"/>
        <family val="1"/>
      </rPr>
      <t xml:space="preserve">
Phân tích được xu thế toàn cầu hóa</t>
    </r>
  </si>
  <si>
    <r>
      <rPr>
        <b/>
        <sz val="18"/>
        <color theme="1"/>
        <rFont val="Times New Roman"/>
        <family val="1"/>
      </rPr>
      <t xml:space="preserve">Nhận biết:
</t>
    </r>
    <r>
      <rPr>
        <sz val="18"/>
        <color theme="1"/>
        <rFont val="Times New Roman"/>
        <family val="1"/>
      </rPr>
      <t>Nêu được quá trình hình thành của ASEAN (Bối cảnh ra đời, các sự kiện chính trong quá trình thành lập)
Nêu được mục đích thành lập của ASEAN.</t>
    </r>
    <r>
      <rPr>
        <b/>
        <sz val="18"/>
        <color theme="1"/>
        <rFont val="Times New Roman"/>
        <family val="1"/>
      </rPr>
      <t xml:space="preserve">
Thông hiểu:</t>
    </r>
    <r>
      <rPr>
        <sz val="18"/>
        <color theme="1"/>
        <rFont val="Times New Roman"/>
        <family val="1"/>
      </rPr>
      <t xml:space="preserve">
Phân tích được quá trình phát triển từ ASEAN 5 đến ASEAN 10.
</t>
    </r>
  </si>
  <si>
    <r>
      <rPr>
        <b/>
        <sz val="18"/>
        <color theme="1"/>
        <rFont val="Times New Roman"/>
        <family val="1"/>
      </rPr>
      <t xml:space="preserve">Nhận biết:
</t>
    </r>
    <r>
      <rPr>
        <sz val="18"/>
        <color theme="1"/>
        <rFont val="Times New Roman"/>
        <family val="1"/>
      </rPr>
      <t>Nêu được nét chính về ý tưởng, mục tiêu, kế hoạch xây dựng cộng đồng ASEAN
Trình bày được nội dung 3 trụ cột của cộng đồng ASEAN</t>
    </r>
    <r>
      <rPr>
        <b/>
        <sz val="18"/>
        <color theme="1"/>
        <rFont val="Times New Roman"/>
        <family val="1"/>
      </rPr>
      <t xml:space="preserve">
</t>
    </r>
  </si>
  <si>
    <r>
      <rPr>
        <b/>
        <sz val="18"/>
        <color theme="1"/>
        <rFont val="Times New Roman"/>
        <family val="1"/>
      </rPr>
      <t xml:space="preserve">Nhận biết:
</t>
    </r>
    <r>
      <rPr>
        <sz val="18"/>
        <color theme="1"/>
        <rFont val="Times New Roman"/>
        <family val="1"/>
      </rPr>
      <t>Nhận diện được mục tiêu quan trọng nhất của Liên Hợp quốc</t>
    </r>
    <r>
      <rPr>
        <b/>
        <sz val="18"/>
        <color theme="1"/>
        <rFont val="Times New Roman"/>
        <family val="1"/>
      </rPr>
      <t xml:space="preserve">
Thông hiểu:
</t>
    </r>
    <r>
      <rPr>
        <sz val="18"/>
        <color theme="1"/>
        <rFont val="Times New Roman"/>
        <family val="1"/>
      </rPr>
      <t>Phân tích được vai trò của Liên Hợp quốc</t>
    </r>
    <r>
      <rPr>
        <b/>
        <sz val="18"/>
        <color theme="1"/>
        <rFont val="Times New Roman"/>
        <family val="1"/>
      </rPr>
      <t xml:space="preserve"> </t>
    </r>
    <r>
      <rPr>
        <sz val="18"/>
        <color theme="1"/>
        <rFont val="Times New Roman"/>
        <family val="1"/>
      </rPr>
      <t xml:space="preserve">
Nhận xét được vai trò của các tổ chức quốc tế của Liên hợp quốc ở Việt Nam và đóng góp củaViệt Nam đối với các hoạt động của Liên hợp quốc.
</t>
    </r>
  </si>
  <si>
    <r>
      <rPr>
        <b/>
        <sz val="18"/>
        <color theme="1"/>
        <rFont val="Times New Roman"/>
        <family val="1"/>
      </rPr>
      <t xml:space="preserve">Nhận biết:
</t>
    </r>
    <r>
      <rPr>
        <sz val="18"/>
        <color theme="1"/>
        <rFont val="Times New Roman"/>
        <family val="1"/>
      </rPr>
      <t>Nhận diện được đặc điểm của Trật tự thế giới hai cực Ianta
Nhận diện được những sự kiện chính trong quá trình tồn tại của Trật tự hai cực Ianta</t>
    </r>
    <r>
      <rPr>
        <b/>
        <sz val="18"/>
        <color theme="1"/>
        <rFont val="Times New Roman"/>
        <family val="1"/>
      </rPr>
      <t xml:space="preserve">
Thông hiểu:</t>
    </r>
    <r>
      <rPr>
        <sz val="18"/>
        <color theme="1"/>
        <rFont val="Times New Roman"/>
        <family val="1"/>
      </rPr>
      <t xml:space="preserve">
Nhận xét về thỏa thuận về việc phân chia phạm vi ảnh hưởng giữa các nước lớn. 
Phân tích được tác động sự sụp đổ Trật tự thế giới hai cực Ianta đối với tình hình thế giới.
Phân tích được tác động của Trật tự thế giới hai cực Ianta đối với Việt Nam
</t>
    </r>
  </si>
  <si>
    <r>
      <rPr>
        <b/>
        <sz val="18"/>
        <color theme="1"/>
        <rFont val="Times New Roman"/>
        <family val="1"/>
      </rPr>
      <t>Nhận biết:</t>
    </r>
    <r>
      <rPr>
        <sz val="18"/>
        <color theme="1"/>
        <rFont val="Times New Roman"/>
        <family val="1"/>
      </rPr>
      <t xml:space="preserve">
Trình bày được khái niệm đa cực
Nêu được xu thế đa cực trong quan hệ quốc tế sau Chiến tranh lạnh</t>
    </r>
    <r>
      <rPr>
        <b/>
        <sz val="18"/>
        <color theme="1"/>
        <rFont val="Times New Roman"/>
        <family val="1"/>
      </rPr>
      <t xml:space="preserve">
Thông hiểu:
</t>
    </r>
    <r>
      <rPr>
        <sz val="18"/>
        <color theme="1"/>
        <rFont val="Times New Roman"/>
        <family val="1"/>
      </rPr>
      <t xml:space="preserve">Giải thích được vì sao sau Chiến tranh lạnh các nước lại lấy phát triển kinh tế làm trung tâm 
Nhận diện được xu thế đa cực trong quan hệ quốc tế sau Chiến tranh lạnh
Nhận diện được các biểu hiện của xu thế đa cực
</t>
    </r>
  </si>
  <si>
    <r>
      <rPr>
        <b/>
        <sz val="18"/>
        <color theme="1"/>
        <rFont val="Times New Roman"/>
        <family val="1"/>
      </rPr>
      <t>Nhận biết:</t>
    </r>
    <r>
      <rPr>
        <sz val="18"/>
        <color theme="1"/>
        <rFont val="Times New Roman"/>
        <family val="1"/>
      </rPr>
      <t xml:space="preserve">
Nêu được các giai đoạn phát triển chính của ASEAN từ 1967 đến nay.
Nhận diện được các hoạt động nổi bật của ASEAN trong từng giai đoạn.
</t>
    </r>
    <r>
      <rPr>
        <b/>
        <sz val="18"/>
        <color theme="1"/>
        <rFont val="Times New Roman"/>
        <family val="1"/>
      </rPr>
      <t xml:space="preserve">
Thông hiểu:</t>
    </r>
    <r>
      <rPr>
        <sz val="18"/>
        <color theme="1"/>
        <rFont val="Times New Roman"/>
        <family val="1"/>
      </rPr>
      <t xml:space="preserve">
Phân tích được ý nghĩa của việc mở rộng ASEAN
Nhận diện được sự kiện quan trọng đánh dấu bước ngoặt trong quá trình phát triển của ASEAN và ý nghĩa của sự kiện đó đối với sự phát triển chung của tổ chức ASEAN
</t>
    </r>
  </si>
  <si>
    <r>
      <rPr>
        <b/>
        <sz val="18"/>
        <color theme="1"/>
        <rFont val="Times New Roman"/>
        <family val="1"/>
      </rPr>
      <t xml:space="preserve">Vận dụng:
 </t>
    </r>
    <r>
      <rPr>
        <sz val="18"/>
        <color theme="1"/>
        <rFont val="Times New Roman"/>
        <family val="1"/>
      </rPr>
      <t xml:space="preserve">Việt Nam và các nước đã vận dụng các nguyên tắc của Liên Hợp Quốc trong việc giải quyết các vấn đề hiện nay.
Vận dụng hiểu biết về quá trình hình thành, mục tiêu, nguyên tắc hoạt động của LHQ làm nền tảng cho sự phát triển của Liên Hợp Quốc hiện nay
</t>
    </r>
  </si>
  <si>
    <r>
      <rPr>
        <b/>
        <sz val="18"/>
        <color theme="1"/>
        <rFont val="Times New Roman"/>
        <family val="1"/>
      </rPr>
      <t>Vận dụng:</t>
    </r>
    <r>
      <rPr>
        <sz val="18"/>
        <color theme="1"/>
        <rFont val="Times New Roman"/>
        <family val="1"/>
      </rPr>
      <t xml:space="preserve">
Vận dụng hiểu biết về Trật tự thế giới hai cực Ianta để giải thích những vấn đề có liên quan đến quan hệ quốc tế hiện nay.
</t>
    </r>
  </si>
  <si>
    <r>
      <rPr>
        <b/>
        <sz val="18"/>
        <color theme="1"/>
        <rFont val="Times New Roman"/>
        <family val="1"/>
      </rPr>
      <t xml:space="preserve">Vận dụng:
</t>
    </r>
    <r>
      <rPr>
        <sz val="18"/>
        <color theme="1"/>
        <rFont val="Times New Roman"/>
        <family val="1"/>
      </rPr>
      <t xml:space="preserve">Rút ra được thời cơ và thách thức cho các nước trong xu thế đa cực
Vận dụng hiểu biết về các xu thế chính của thế giới sau Chiến tranh lạnh để giải thích những vấn đề có liên quan đến quan hệ quốc tế hiện nay.
</t>
    </r>
  </si>
  <si>
    <r>
      <rPr>
        <b/>
        <sz val="18"/>
        <color theme="1"/>
        <rFont val="Times New Roman"/>
        <family val="1"/>
      </rPr>
      <t>Vận dụng:</t>
    </r>
    <r>
      <rPr>
        <sz val="18"/>
        <color theme="1"/>
        <rFont val="Times New Roman"/>
        <family val="1"/>
      </rPr>
      <t xml:space="preserve">
Rút ra được những đóng góp quan trọng của ASEAN trong quá trình thành lập và phát triển
</t>
    </r>
  </si>
  <si>
    <r>
      <rPr>
        <b/>
        <sz val="18"/>
        <color theme="1"/>
        <rFont val="Times New Roman"/>
        <family val="1"/>
      </rPr>
      <t>Vận dụng:</t>
    </r>
    <r>
      <rPr>
        <sz val="18"/>
        <color theme="1"/>
        <rFont val="Times New Roman"/>
        <family val="1"/>
      </rPr>
      <t xml:space="preserve">
Rút ra được đóng góp của Việt Nam cho sự phát triển Cộng đồng ASEAN</t>
    </r>
  </si>
  <si>
    <t>1 (C12)</t>
  </si>
  <si>
    <r>
      <rPr>
        <b/>
        <sz val="18"/>
        <color theme="1"/>
        <rFont val="Times New Roman"/>
        <family val="1"/>
      </rPr>
      <t>Thông hiểu:</t>
    </r>
    <r>
      <rPr>
        <sz val="18"/>
        <color theme="1"/>
        <rFont val="Times New Roman"/>
        <family val="1"/>
      </rPr>
      <t xml:space="preserve">
Phân tích được những thách thức của Cộng đồng ASEAN. 
Phân tích được những triển vọng của Cộng đồng ASEAN. 
</t>
    </r>
  </si>
  <si>
    <t>Câu hỏi trắc nghiệm dạng Đúng/Sai</t>
  </si>
  <si>
    <t>2 (C1a, C1b)</t>
  </si>
  <si>
    <t>2 (C3a,C3b)</t>
  </si>
  <si>
    <t>2 (C4a, C4b)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</si>
</sst>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theme="1"/>
      <name val="Aptos Narrow"/>
      <family val="2"/>
      <scheme val="minor"/>
    </font>
    <font>
      <b/>
      <sz val="11"/>
      <color theme="1"/>
      <name val="Aptos Narrow"/>
      <family val="2"/>
      <scheme val="minor"/>
    </font>
    <font>
      <b/>
      <sz val="18"/>
      <color theme="1"/>
      <name val="Times New Roman"/>
      <family val="1"/>
    </font>
    <font>
      <b/>
      <i/>
      <sz val="18"/>
      <color rgb="FF333333"/>
      <name val="Times New Roman"/>
      <family val="1"/>
    </font>
    <font>
      <b/>
      <sz val="18"/>
      <name val="Times New Roman"/>
      <family val="1"/>
    </font>
    <font>
      <sz val="18"/>
      <color theme="1"/>
      <name val="Times New Roman"/>
      <family val="1"/>
    </font>
    <font>
      <b/>
      <sz val="18"/>
      <color rgb="FFFF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7">
    <xf numFmtId="0" fontId="0" fillId="0" borderId="0" xfId="0"/>
    <xf numFmtId="0" fontId="1" fillId="0" borderId="0" xfId="0" applyFont="1"/>
    <xf numFmtId="0" fontId="0" fillId="0" borderId="0" xfId="0" applyAlignment="1">
      <alignment horizontal="center"/>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0" xfId="0" applyFont="1" applyAlignment="1">
      <alignment vertical="top" wrapText="1"/>
    </xf>
    <xf numFmtId="0" fontId="5" fillId="0" borderId="1" xfId="0" applyFont="1" applyBorder="1" applyAlignment="1">
      <alignment horizontal="left" vertical="top" wrapText="1"/>
    </xf>
    <xf numFmtId="0" fontId="2"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left" vertical="center" wrapText="1"/>
    </xf>
    <xf numFmtId="49" fontId="5" fillId="0" borderId="1" xfId="0" applyNumberFormat="1" applyFont="1" applyBorder="1" applyAlignment="1">
      <alignment vertical="top"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justify" vertical="center" wrapText="1"/>
    </xf>
    <xf numFmtId="0" fontId="5" fillId="0" borderId="1" xfId="0" applyFont="1" applyBorder="1" applyAlignment="1">
      <alignment horizontal="justify" vertical="center" wrapText="1"/>
    </xf>
    <xf numFmtId="0" fontId="2" fillId="2" borderId="1" xfId="0" applyFont="1" applyFill="1" applyBorder="1" applyAlignment="1">
      <alignment horizontal="justify" vertical="center" wrapText="1"/>
    </xf>
    <xf numFmtId="0" fontId="2" fillId="0" borderId="1" xfId="0" applyFont="1" applyBorder="1" applyAlignment="1">
      <alignment horizontal="justify" vertical="center" wrapText="1"/>
    </xf>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2" fillId="2" borderId="7" xfId="0" applyFont="1" applyFill="1" applyBorder="1"/>
    <xf numFmtId="0" fontId="2" fillId="0" borderId="7" xfId="0" applyFont="1" applyBorder="1"/>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2" xfId="0" applyFont="1" applyFill="1" applyBorder="1" applyAlignment="1">
      <alignment horizontal="center"/>
    </xf>
    <xf numFmtId="0" fontId="1" fillId="3"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6" fillId="2" borderId="7" xfId="0" applyFont="1" applyFill="1" applyBorder="1" applyAlignment="1">
      <alignment horizontal="center"/>
    </xf>
    <xf numFmtId="0" fontId="6" fillId="2" borderId="8" xfId="0" applyFont="1" applyFill="1" applyBorder="1" applyAlignment="1">
      <alignment horizontal="center"/>
    </xf>
    <xf numFmtId="0" fontId="6" fillId="2" borderId="2" xfId="0" applyFont="1" applyFill="1" applyBorder="1" applyAlignment="1">
      <alignment horizont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
  <sheetViews>
    <sheetView tabSelected="1" topLeftCell="B1" zoomScale="60" zoomScaleNormal="60" zoomScaleSheetLayoutView="87" workbookViewId="0">
      <selection activeCell="K6" sqref="K6"/>
    </sheetView>
  </sheetViews>
  <sheetFormatPr defaultRowHeight="36.75" customHeight="1"/>
  <cols>
    <col min="1" max="1" width="0" hidden="1" customWidth="1"/>
    <col min="2" max="2" width="6.625" style="1" customWidth="1"/>
    <col min="3" max="3" width="33.25" bestFit="1" customWidth="1"/>
    <col min="4" max="4" width="39.75" customWidth="1"/>
    <col min="5" max="5" width="47.125" customWidth="1"/>
    <col min="6" max="6" width="16.375" style="2" customWidth="1"/>
    <col min="7" max="7" width="18.25" style="2" bestFit="1" customWidth="1"/>
    <col min="8" max="8" width="31" style="2" customWidth="1"/>
    <col min="9" max="9" width="24.875" style="2" customWidth="1"/>
    <col min="10" max="10" width="18.25" style="2" bestFit="1" customWidth="1"/>
    <col min="11" max="11" width="27.75" style="2" customWidth="1"/>
    <col min="12" max="12" width="15.75" style="2" bestFit="1" customWidth="1"/>
    <col min="13" max="13" width="18.25" style="2" bestFit="1" customWidth="1"/>
    <col min="14" max="14" width="33" style="2" customWidth="1"/>
    <col min="15" max="15" width="8" customWidth="1"/>
  </cols>
  <sheetData>
    <row r="1" spans="2:15" ht="36.75" customHeight="1">
      <c r="B1" s="26" t="s">
        <v>0</v>
      </c>
      <c r="C1" s="24" t="s">
        <v>1</v>
      </c>
      <c r="D1" s="46" t="s">
        <v>2</v>
      </c>
      <c r="E1" s="44" t="s">
        <v>3</v>
      </c>
      <c r="F1" s="42" t="s">
        <v>4</v>
      </c>
      <c r="G1" s="43"/>
      <c r="H1" s="43"/>
      <c r="I1" s="43" t="s">
        <v>67</v>
      </c>
      <c r="J1" s="43"/>
      <c r="K1" s="43"/>
      <c r="L1" s="43" t="s">
        <v>5</v>
      </c>
      <c r="M1" s="43"/>
      <c r="N1" s="43"/>
    </row>
    <row r="2" spans="2:15" ht="36.75" customHeight="1">
      <c r="B2" s="27"/>
      <c r="C2" s="25"/>
      <c r="D2" s="46"/>
      <c r="E2" s="45"/>
      <c r="F2" s="3" t="s">
        <v>6</v>
      </c>
      <c r="G2" s="4" t="s">
        <v>7</v>
      </c>
      <c r="H2" s="4" t="s">
        <v>8</v>
      </c>
      <c r="I2" s="4" t="s">
        <v>6</v>
      </c>
      <c r="J2" s="4" t="s">
        <v>7</v>
      </c>
      <c r="K2" s="4" t="s">
        <v>8</v>
      </c>
      <c r="L2" s="4" t="s">
        <v>6</v>
      </c>
      <c r="M2" s="4" t="s">
        <v>7</v>
      </c>
      <c r="N2" s="4" t="s">
        <v>8</v>
      </c>
    </row>
    <row r="3" spans="2:15" ht="119.45" customHeight="1">
      <c r="B3" s="39">
        <v>1</v>
      </c>
      <c r="C3" s="36" t="s">
        <v>16</v>
      </c>
      <c r="D3" s="5" t="s">
        <v>17</v>
      </c>
      <c r="E3" s="6" t="s">
        <v>51</v>
      </c>
      <c r="F3" s="7" t="s">
        <v>22</v>
      </c>
      <c r="G3" s="7"/>
      <c r="H3" s="7"/>
      <c r="I3" s="7" t="s">
        <v>68</v>
      </c>
      <c r="J3" s="7"/>
      <c r="K3" s="7"/>
      <c r="L3" s="8"/>
      <c r="M3" s="8"/>
      <c r="N3" s="8"/>
      <c r="O3" s="31"/>
    </row>
    <row r="4" spans="2:15" ht="152.1" customHeight="1">
      <c r="B4" s="40"/>
      <c r="C4" s="37"/>
      <c r="D4" s="9" t="s">
        <v>18</v>
      </c>
      <c r="E4" s="6" t="s">
        <v>52</v>
      </c>
      <c r="F4" s="7" t="s">
        <v>26</v>
      </c>
      <c r="G4" s="7"/>
      <c r="H4" s="7"/>
      <c r="I4" s="7" t="s">
        <v>44</v>
      </c>
      <c r="J4" s="7"/>
      <c r="K4" s="7"/>
      <c r="L4" s="8"/>
      <c r="M4" s="8"/>
      <c r="N4" s="8"/>
      <c r="O4" s="31"/>
    </row>
    <row r="5" spans="2:15" ht="95.45" customHeight="1">
      <c r="B5" s="40"/>
      <c r="C5" s="37"/>
      <c r="D5" s="9" t="s">
        <v>19</v>
      </c>
      <c r="E5" s="6" t="s">
        <v>53</v>
      </c>
      <c r="F5" s="7" t="s">
        <v>29</v>
      </c>
      <c r="G5" s="7" t="s">
        <v>65</v>
      </c>
      <c r="H5" s="7"/>
      <c r="I5" s="7" t="s">
        <v>69</v>
      </c>
      <c r="J5" s="7"/>
      <c r="K5" s="7"/>
      <c r="L5" s="8"/>
      <c r="M5" s="8"/>
      <c r="N5" s="8"/>
      <c r="O5" s="31"/>
    </row>
    <row r="6" spans="2:15" ht="168" customHeight="1">
      <c r="B6" s="40"/>
      <c r="C6" s="37"/>
      <c r="D6" s="10" t="s">
        <v>20</v>
      </c>
      <c r="E6" s="6" t="s">
        <v>54</v>
      </c>
      <c r="F6" s="7" t="s">
        <v>33</v>
      </c>
      <c r="G6" s="7" t="s">
        <v>34</v>
      </c>
      <c r="H6" s="7"/>
      <c r="I6" s="7" t="s">
        <v>70</v>
      </c>
      <c r="J6" s="7"/>
      <c r="K6" s="7"/>
      <c r="L6" s="8"/>
      <c r="M6" s="8"/>
      <c r="N6" s="8"/>
      <c r="O6" s="31"/>
    </row>
    <row r="7" spans="2:15" ht="123.6" customHeight="1">
      <c r="B7" s="41"/>
      <c r="C7" s="38"/>
      <c r="D7" s="10" t="s">
        <v>21</v>
      </c>
      <c r="E7" s="6" t="s">
        <v>55</v>
      </c>
      <c r="F7" s="7" t="s">
        <v>39</v>
      </c>
      <c r="G7" s="7" t="s">
        <v>40</v>
      </c>
      <c r="H7" s="7"/>
      <c r="I7" s="7"/>
      <c r="J7" s="7"/>
      <c r="K7" s="7"/>
      <c r="L7" s="8"/>
      <c r="M7" s="8"/>
      <c r="N7" s="8"/>
      <c r="O7" s="31"/>
    </row>
    <row r="8" spans="2:15" ht="172.5" customHeight="1">
      <c r="B8" s="39">
        <v>2</v>
      </c>
      <c r="C8" s="36" t="s">
        <v>14</v>
      </c>
      <c r="D8" s="5" t="s">
        <v>17</v>
      </c>
      <c r="E8" s="6" t="s">
        <v>56</v>
      </c>
      <c r="F8" s="7" t="s">
        <v>23</v>
      </c>
      <c r="G8" s="7" t="s">
        <v>24</v>
      </c>
      <c r="H8" s="7"/>
      <c r="I8" s="7"/>
      <c r="J8" s="7" t="s">
        <v>42</v>
      </c>
      <c r="K8" s="7"/>
      <c r="L8" s="8"/>
      <c r="M8" s="8"/>
      <c r="N8" s="8"/>
      <c r="O8" s="31"/>
    </row>
    <row r="9" spans="2:15" ht="246" customHeight="1">
      <c r="B9" s="40"/>
      <c r="C9" s="37"/>
      <c r="D9" s="9" t="s">
        <v>18</v>
      </c>
      <c r="E9" s="6" t="s">
        <v>57</v>
      </c>
      <c r="F9" s="7" t="s">
        <v>27</v>
      </c>
      <c r="G9" s="7" t="s">
        <v>28</v>
      </c>
      <c r="H9" s="7"/>
      <c r="I9" s="7"/>
      <c r="J9" s="7" t="s">
        <v>50</v>
      </c>
      <c r="K9" s="7"/>
      <c r="L9" s="8"/>
      <c r="M9" s="8"/>
      <c r="N9" s="8"/>
      <c r="O9" s="31"/>
    </row>
    <row r="10" spans="2:15" ht="221.45" customHeight="1">
      <c r="B10" s="40"/>
      <c r="C10" s="37"/>
      <c r="D10" s="9" t="s">
        <v>19</v>
      </c>
      <c r="E10" s="6" t="s">
        <v>58</v>
      </c>
      <c r="F10" s="7" t="s">
        <v>30</v>
      </c>
      <c r="G10" s="7" t="s">
        <v>31</v>
      </c>
      <c r="H10" s="7"/>
      <c r="I10" s="7"/>
      <c r="J10" s="7" t="s">
        <v>48</v>
      </c>
      <c r="K10" s="7"/>
      <c r="L10" s="8"/>
      <c r="M10" s="8"/>
      <c r="N10" s="8"/>
      <c r="O10" s="31"/>
    </row>
    <row r="11" spans="2:15" ht="251.1" customHeight="1">
      <c r="B11" s="40"/>
      <c r="C11" s="37"/>
      <c r="D11" s="10" t="s">
        <v>20</v>
      </c>
      <c r="E11" s="6" t="s">
        <v>59</v>
      </c>
      <c r="F11" s="7" t="s">
        <v>35</v>
      </c>
      <c r="G11" s="7" t="s">
        <v>36</v>
      </c>
      <c r="H11" s="7"/>
      <c r="I11" s="7"/>
      <c r="J11" s="7" t="s">
        <v>49</v>
      </c>
      <c r="K11" s="7"/>
      <c r="L11" s="8"/>
      <c r="M11" s="8"/>
      <c r="N11" s="8"/>
      <c r="O11" s="31"/>
    </row>
    <row r="12" spans="2:15" ht="122.1" customHeight="1">
      <c r="B12" s="41"/>
      <c r="C12" s="38"/>
      <c r="D12" s="10" t="s">
        <v>21</v>
      </c>
      <c r="E12" s="6" t="s">
        <v>66</v>
      </c>
      <c r="F12" s="7"/>
      <c r="G12" s="7" t="s">
        <v>41</v>
      </c>
      <c r="H12" s="7"/>
      <c r="I12" s="7"/>
      <c r="J12" s="7"/>
      <c r="K12" s="7"/>
      <c r="L12" s="8"/>
      <c r="M12" s="8"/>
      <c r="N12" s="8"/>
      <c r="O12" s="31"/>
    </row>
    <row r="13" spans="2:15" ht="155.44999999999999" customHeight="1">
      <c r="B13" s="39">
        <v>3</v>
      </c>
      <c r="C13" s="36" t="s">
        <v>15</v>
      </c>
      <c r="D13" s="5" t="s">
        <v>17</v>
      </c>
      <c r="E13" s="6" t="s">
        <v>60</v>
      </c>
      <c r="F13" s="7"/>
      <c r="G13" s="7"/>
      <c r="H13" s="7" t="s">
        <v>25</v>
      </c>
      <c r="I13" s="7"/>
      <c r="J13" s="7"/>
      <c r="K13" s="7" t="s">
        <v>43</v>
      </c>
      <c r="L13" s="8"/>
      <c r="M13" s="8"/>
      <c r="N13" s="8"/>
      <c r="O13" s="31"/>
    </row>
    <row r="14" spans="2:15" ht="86.45" customHeight="1">
      <c r="B14" s="40"/>
      <c r="C14" s="37"/>
      <c r="D14" s="9" t="s">
        <v>18</v>
      </c>
      <c r="E14" s="6" t="s">
        <v>61</v>
      </c>
      <c r="F14" s="7"/>
      <c r="G14" s="7"/>
      <c r="H14" s="7"/>
      <c r="I14" s="7"/>
      <c r="J14" s="7"/>
      <c r="K14" s="7" t="s">
        <v>45</v>
      </c>
      <c r="L14" s="8"/>
      <c r="M14" s="8"/>
      <c r="N14" s="8"/>
      <c r="O14" s="31"/>
    </row>
    <row r="15" spans="2:15" ht="107.1" customHeight="1">
      <c r="B15" s="40"/>
      <c r="C15" s="37"/>
      <c r="D15" s="9" t="s">
        <v>19</v>
      </c>
      <c r="E15" s="6" t="s">
        <v>62</v>
      </c>
      <c r="F15" s="7"/>
      <c r="G15" s="7"/>
      <c r="H15" s="7" t="s">
        <v>32</v>
      </c>
      <c r="I15" s="7"/>
      <c r="J15" s="7"/>
      <c r="K15" s="7" t="s">
        <v>46</v>
      </c>
      <c r="L15" s="8"/>
      <c r="M15" s="8"/>
      <c r="N15" s="8"/>
      <c r="O15" s="31"/>
    </row>
    <row r="16" spans="2:15" ht="107.1" customHeight="1">
      <c r="B16" s="40"/>
      <c r="C16" s="37"/>
      <c r="D16" s="10" t="s">
        <v>20</v>
      </c>
      <c r="E16" s="6" t="s">
        <v>63</v>
      </c>
      <c r="F16" s="7"/>
      <c r="G16" s="7"/>
      <c r="H16" s="7" t="s">
        <v>37</v>
      </c>
      <c r="I16" s="7"/>
      <c r="J16" s="7"/>
      <c r="K16" s="7" t="s">
        <v>47</v>
      </c>
      <c r="L16" s="8"/>
      <c r="M16" s="8"/>
      <c r="N16" s="8"/>
      <c r="O16" s="31"/>
    </row>
    <row r="17" spans="2:15" ht="91.5" customHeight="1">
      <c r="B17" s="41"/>
      <c r="C17" s="38"/>
      <c r="D17" s="10" t="s">
        <v>21</v>
      </c>
      <c r="E17" s="11" t="s">
        <v>64</v>
      </c>
      <c r="F17" s="7"/>
      <c r="G17" s="7"/>
      <c r="H17" s="7" t="s">
        <v>38</v>
      </c>
      <c r="I17" s="7"/>
      <c r="J17" s="7"/>
      <c r="K17" s="7"/>
      <c r="L17" s="8"/>
      <c r="M17" s="8"/>
      <c r="N17" s="8"/>
      <c r="O17" s="31"/>
    </row>
    <row r="18" spans="2:15" ht="19.5" hidden="1" customHeight="1">
      <c r="B18" s="12">
        <v>4</v>
      </c>
      <c r="C18" s="7"/>
      <c r="D18" s="7"/>
      <c r="E18" s="13"/>
      <c r="F18" s="7"/>
      <c r="G18" s="7"/>
      <c r="H18" s="7"/>
      <c r="I18" s="7"/>
      <c r="J18" s="7"/>
      <c r="K18" s="7"/>
      <c r="L18" s="8"/>
      <c r="M18" s="8"/>
      <c r="N18" s="8"/>
      <c r="O18" s="31"/>
    </row>
    <row r="19" spans="2:15" ht="19.5" hidden="1" customHeight="1">
      <c r="B19" s="12">
        <v>5</v>
      </c>
      <c r="C19" s="8"/>
      <c r="D19" s="8"/>
      <c r="E19" s="14"/>
      <c r="F19" s="8"/>
      <c r="G19" s="8"/>
      <c r="H19" s="8"/>
      <c r="I19" s="8"/>
      <c r="J19" s="8"/>
      <c r="K19" s="8"/>
      <c r="L19" s="8"/>
      <c r="M19" s="8"/>
      <c r="N19" s="8"/>
      <c r="O19" s="31"/>
    </row>
    <row r="20" spans="2:15" ht="19.5" hidden="1" customHeight="1">
      <c r="B20" s="12">
        <v>6</v>
      </c>
      <c r="C20" s="15"/>
      <c r="D20" s="15"/>
      <c r="E20" s="16"/>
      <c r="F20" s="8"/>
      <c r="G20" s="8"/>
      <c r="H20" s="8"/>
      <c r="I20" s="8"/>
      <c r="J20" s="8"/>
      <c r="K20" s="8"/>
      <c r="L20" s="8"/>
      <c r="M20" s="8"/>
      <c r="N20" s="8"/>
      <c r="O20" s="31"/>
    </row>
    <row r="21" spans="2:15" ht="19.5" hidden="1" customHeight="1">
      <c r="B21" s="12">
        <v>7</v>
      </c>
      <c r="C21" s="15"/>
      <c r="D21" s="15"/>
      <c r="E21" s="16"/>
      <c r="F21" s="8"/>
      <c r="G21" s="8"/>
      <c r="H21" s="8"/>
      <c r="I21" s="8"/>
      <c r="J21" s="8"/>
      <c r="K21" s="8"/>
      <c r="L21" s="8"/>
      <c r="M21" s="8"/>
      <c r="N21" s="8"/>
      <c r="O21" s="31"/>
    </row>
    <row r="22" spans="2:15" ht="19.5" hidden="1" customHeight="1">
      <c r="B22" s="12">
        <v>8</v>
      </c>
      <c r="C22" s="15"/>
      <c r="D22" s="15"/>
      <c r="E22" s="16"/>
      <c r="F22" s="8"/>
      <c r="G22" s="8"/>
      <c r="H22" s="8"/>
      <c r="I22" s="8"/>
      <c r="J22" s="8"/>
      <c r="K22" s="8"/>
      <c r="L22" s="8"/>
      <c r="M22" s="8"/>
      <c r="N22" s="8"/>
      <c r="O22" s="31"/>
    </row>
    <row r="23" spans="2:15" ht="19.5" hidden="1" customHeight="1">
      <c r="B23" s="12">
        <v>9</v>
      </c>
      <c r="C23" s="15"/>
      <c r="D23" s="15"/>
      <c r="E23" s="16"/>
      <c r="F23" s="8"/>
      <c r="G23" s="8"/>
      <c r="H23" s="8"/>
      <c r="I23" s="8"/>
      <c r="J23" s="8"/>
      <c r="K23" s="8"/>
      <c r="L23" s="8"/>
      <c r="M23" s="8"/>
      <c r="N23" s="8"/>
      <c r="O23" s="31"/>
    </row>
    <row r="24" spans="2:15" ht="19.5" hidden="1" customHeight="1">
      <c r="B24" s="12">
        <v>10</v>
      </c>
      <c r="C24" s="15"/>
      <c r="D24" s="15"/>
      <c r="E24" s="16"/>
      <c r="F24" s="8"/>
      <c r="G24" s="8"/>
      <c r="H24" s="8"/>
      <c r="I24" s="8"/>
      <c r="J24" s="8"/>
      <c r="K24" s="8"/>
      <c r="L24" s="8"/>
      <c r="M24" s="8"/>
      <c r="N24" s="8"/>
      <c r="O24" s="31"/>
    </row>
    <row r="25" spans="2:15" s="1" customFormat="1" ht="36.75" customHeight="1">
      <c r="B25" s="32" t="s">
        <v>9</v>
      </c>
      <c r="C25" s="17" t="s">
        <v>10</v>
      </c>
      <c r="D25" s="17"/>
      <c r="E25" s="18"/>
      <c r="F25" s="4">
        <v>12</v>
      </c>
      <c r="G25" s="4">
        <v>8</v>
      </c>
      <c r="H25" s="4">
        <v>4</v>
      </c>
      <c r="I25" s="4">
        <v>8</v>
      </c>
      <c r="J25" s="4">
        <v>4</v>
      </c>
      <c r="K25" s="4">
        <v>4</v>
      </c>
      <c r="L25" s="4">
        <f t="shared" ref="L25:N25" si="0">SUM(L3:L24)</f>
        <v>0</v>
      </c>
      <c r="M25" s="4">
        <f t="shared" si="0"/>
        <v>0</v>
      </c>
      <c r="N25" s="4">
        <f t="shared" si="0"/>
        <v>0</v>
      </c>
    </row>
    <row r="26" spans="2:15" s="1" customFormat="1" ht="36.75" customHeight="1">
      <c r="B26" s="32"/>
      <c r="C26" s="19" t="s">
        <v>11</v>
      </c>
      <c r="D26" s="19"/>
      <c r="E26" s="20"/>
      <c r="F26" s="21">
        <f>(F25/40)*100</f>
        <v>30</v>
      </c>
      <c r="G26" s="21">
        <f>(G25/40)*100</f>
        <v>20</v>
      </c>
      <c r="H26" s="21">
        <f t="shared" ref="H26:N26" si="1">(H25/40)*100</f>
        <v>10</v>
      </c>
      <c r="I26" s="21">
        <f t="shared" si="1"/>
        <v>20</v>
      </c>
      <c r="J26" s="21">
        <f t="shared" si="1"/>
        <v>10</v>
      </c>
      <c r="K26" s="21">
        <f t="shared" si="1"/>
        <v>10</v>
      </c>
      <c r="L26" s="21">
        <f t="shared" si="1"/>
        <v>0</v>
      </c>
      <c r="M26" s="21">
        <f t="shared" si="1"/>
        <v>0</v>
      </c>
      <c r="N26" s="21">
        <f t="shared" si="1"/>
        <v>0</v>
      </c>
    </row>
    <row r="27" spans="2:15" s="1" customFormat="1" ht="36.75" customHeight="1">
      <c r="B27" s="32"/>
      <c r="C27" s="19" t="s">
        <v>12</v>
      </c>
      <c r="D27" s="22"/>
      <c r="E27" s="23"/>
      <c r="F27" s="33">
        <v>24</v>
      </c>
      <c r="G27" s="34"/>
      <c r="H27" s="35"/>
      <c r="I27" s="33">
        <f>I25+J25+K25</f>
        <v>16</v>
      </c>
      <c r="J27" s="34"/>
      <c r="K27" s="35"/>
      <c r="L27" s="33">
        <f>L25+M25+N25</f>
        <v>0</v>
      </c>
      <c r="M27" s="34"/>
      <c r="N27" s="35"/>
    </row>
    <row r="28" spans="2:15" s="1" customFormat="1" ht="36.75" customHeight="1">
      <c r="B28" s="32"/>
      <c r="C28" s="19" t="s">
        <v>13</v>
      </c>
      <c r="D28" s="22"/>
      <c r="E28" s="23"/>
      <c r="F28" s="28">
        <f>(F27/40)*100</f>
        <v>60</v>
      </c>
      <c r="G28" s="29"/>
      <c r="H28" s="30"/>
      <c r="I28" s="28">
        <f>(I27/40)*100</f>
        <v>40</v>
      </c>
      <c r="J28" s="29"/>
      <c r="K28" s="30"/>
      <c r="L28" s="28">
        <f>(L27/40)*100</f>
        <v>0</v>
      </c>
      <c r="M28" s="29"/>
      <c r="N28" s="30"/>
    </row>
  </sheetData>
  <mergeCells count="21">
    <mergeCell ref="F1:H1"/>
    <mergeCell ref="I1:K1"/>
    <mergeCell ref="L1:N1"/>
    <mergeCell ref="E1:E2"/>
    <mergeCell ref="D1:D2"/>
    <mergeCell ref="C1:C2"/>
    <mergeCell ref="B1:B2"/>
    <mergeCell ref="L28:N28"/>
    <mergeCell ref="O3:O24"/>
    <mergeCell ref="B25:B28"/>
    <mergeCell ref="F27:H27"/>
    <mergeCell ref="I27:K27"/>
    <mergeCell ref="L27:N27"/>
    <mergeCell ref="F28:H28"/>
    <mergeCell ref="I28:K28"/>
    <mergeCell ref="C3:C7"/>
    <mergeCell ref="C8:C12"/>
    <mergeCell ref="C13:C17"/>
    <mergeCell ref="B3:B7"/>
    <mergeCell ref="B8:B12"/>
    <mergeCell ref="B13:B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Sử 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Ngo Thi Thanh</dc:creator>
  <cp:keywords/>
  <dc:description/>
  <cp:lastModifiedBy>Admin</cp:lastModifiedBy>
  <cp:revision/>
  <dcterms:created xsi:type="dcterms:W3CDTF">2024-01-16T04:23:39Z</dcterms:created>
  <dcterms:modified xsi:type="dcterms:W3CDTF">2025-12-14T15:17:44Z</dcterms:modified>
  <cp:category/>
  <cp:contentStatus/>
</cp:coreProperties>
</file>